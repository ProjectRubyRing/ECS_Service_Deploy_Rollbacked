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taka_\Claude\ECS_Service_Deploy_Rollbacked\"/>
    </mc:Choice>
  </mc:AlternateContent>
  <xr:revisionPtr revIDLastSave="0" documentId="13_ncr:1_{E2C63167-1D99-48FD-97F3-FA80EF556C6F}" xr6:coauthVersionLast="47" xr6:coauthVersionMax="47" xr10:uidLastSave="{00000000-0000-0000-0000-000000000000}"/>
  <bookViews>
    <workbookView xWindow="21360" yWindow="-4215" windowWidth="21150" windowHeight="13290" xr2:uid="{00000000-000D-0000-FFFF-FFFF00000000}"/>
  </bookViews>
  <sheets>
    <sheet name="00_表紙・目次" sheetId="1" r:id="rId1"/>
    <sheet name="01_結論サマリ" sheetId="2" r:id="rId2"/>
    <sheet name="02_たとえ話（小学生向け）" sheetId="3" r:id="rId3"/>
    <sheet name="03_根本原因" sheetId="4" r:id="rId4"/>
    <sheet name="04_動作原理" sheetId="5" r:id="rId5"/>
    <sheet name="05_動作イメージ" sheetId="6" r:id="rId6"/>
    <sheet name="06_巻き戻さない設定" sheetId="7" r:id="rId7"/>
    <sheet name="07_設定手順・コマンド" sheetId="8" r:id="rId8"/>
    <sheet name="08_推奨運用チェック" sheetId="9" r:id="rId9"/>
    <sheet name="09_失敗原因の調べ方" sheetId="10" r:id="rId10"/>
    <sheet name="10_歴史と背景" sheetId="11" r:id="rId11"/>
    <sheet name="11_用語集" sheetId="12" r:id="rId12"/>
    <sheet name="12_参考情報" sheetId="13" r:id="rId13"/>
  </sheets>
  <definedNames>
    <definedName name="_xlnm.Print_Titles" localSheetId="0">'00_表紙・目次'!$1:$2</definedName>
    <definedName name="_xlnm.Print_Titles" localSheetId="1">'01_結論サマリ'!$1:$2</definedName>
    <definedName name="_xlnm.Print_Titles" localSheetId="2">'02_たとえ話（小学生向け）'!$1:$2</definedName>
    <definedName name="_xlnm.Print_Titles" localSheetId="3">'03_根本原因'!$1:$2</definedName>
    <definedName name="_xlnm.Print_Titles" localSheetId="4">'04_動作原理'!$1:$2</definedName>
    <definedName name="_xlnm.Print_Titles" localSheetId="5">'05_動作イメージ'!$1:$2</definedName>
    <definedName name="_xlnm.Print_Titles" localSheetId="6">'06_巻き戻さない設定'!$1:$2</definedName>
    <definedName name="_xlnm.Print_Titles" localSheetId="7">'07_設定手順・コマンド'!$1:$2</definedName>
    <definedName name="_xlnm.Print_Titles" localSheetId="8">'08_推奨運用チェック'!$1:$2</definedName>
    <definedName name="_xlnm.Print_Titles" localSheetId="9">'09_失敗原因の調べ方'!$1:$2</definedName>
    <definedName name="_xlnm.Print_Titles" localSheetId="10">'10_歴史と背景'!$1:$2</definedName>
    <definedName name="_xlnm.Print_Titles" localSheetId="11">'11_用語集'!$1:$2</definedName>
    <definedName name="_xlnm.Print_Titles" localSheetId="12">'12_参考情報'!$1:$2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5" l="1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</calcChain>
</file>

<file path=xl/sharedStrings.xml><?xml version="1.0" encoding="utf-8"?>
<sst xmlns="http://schemas.openxmlformats.org/spreadsheetml/2006/main" count="1084" uniqueCount="905">
  <si>
    <t>ECSサービスデプロイ失敗時に「タスク定義が巻き戻る」現象の徹底解説</t>
  </si>
  <si>
    <t>サーキットブレーカー／ロールバックの根本原因・動作原理・設定・歴史を、小学生にもわかるたとえで解説（情報時点：2026年10月3日／AWS公式ドキュメント・What's New を確認）</t>
  </si>
  <si>
    <t>■ 結論（まずはここだけ読めばOK）</t>
  </si>
  <si>
    <t>結論①　巻き戻っているのは「タスク定義」ではなく、「サービスがどのリビジョンを使うか」という指定（しおり）です。原因は ECS のデプロイサーキットブレーカーの『失敗時のロールバック（Rollback on failures）』機能。新しいコンソールでサービスを作ると既定で ON になっており、失敗が一定回数（既定：必要タスク数×50%、最小3・最大200）に達すると、最後に成功した（COMPLETED）デプロイ＝リビジョン13の構成へ自動的に戻します。</t>
  </si>
  <si>
    <t>結論②　タスク定義のリビジョン14・15…は、ロールバックで消されも書き換えられもしません（タスク定義は登録した瞬間に固定＝イミュータブル）。それでも「13に戻って番号だけ増える」ように見えるのは、次の修正を“サービスが今指している13”をコピーして作っているため。14で直した内容が15に入らず、同じ失敗とロールバックを繰り返すループになります。</t>
  </si>
  <si>
    <t>結論③　『失敗時のロールバック』を OFF（rollback=false）にすれば、失敗してもサービスは新しいリビジョンを指したまま停止し、自動では戻りません（設定可能）。ただし本番では安全装置を外すことになるため、①新リビジョンは必ず最新リビジョン（またはGit管理のJSON）から作る、②run-task でサービス外で単体検証、③開発環境のみロールバックOFF、④2026年7月追加のしきい値設定で判定を調整、の組み合わせを推奨します。</t>
  </si>
  <si>
    <t>■ このドキュメントの前提</t>
  </si>
  <si>
    <t>項目</t>
  </si>
  <si>
    <t>内容</t>
  </si>
  <si>
    <t>対象</t>
  </si>
  <si>
    <t>Amazon ECS のサービス（デプロイコントローラー：ECS、デプロイ戦略：ローリングアップデート）。Fargate／EC2 どちらも考え方は同じです。</t>
  </si>
  <si>
    <t>想定シナリオ</t>
  </si>
  <si>
    <t>リビジョン13で成功 → 14以降でコンテナヘルスチェックに失敗 → サーキットブレーカー発動 → 13に戻る、をコンソールの「サービスを更新」で繰り返している。</t>
  </si>
  <si>
    <t>対象外（補足のみ）</t>
  </si>
  <si>
    <t>CodeDeploy による Blue/Green（ロールバック設定は CodeDeploy 側）。ECS 組み込みの Blue/Green・リニア・カナリア（2025年〜）も、失敗時は元のサービスリビジョンに戻るのが基本です。</t>
  </si>
  <si>
    <t>情報の時点</t>
  </si>
  <si>
    <t>2026年10月3日時点の AWS 公式ドキュメント・What's New を確認。画面の文言は表示言語や今後の更新で変わる可能性があります。</t>
  </si>
  <si>
    <t>表記</t>
  </si>
  <si>
    <t>rev13 ＝ タスク定義「ファミリー名:13」。CB ＝ デプロイサーキットブレーカー。</t>
  </si>
  <si>
    <t>■ 目次（シート名をクリックすると移動します）</t>
  </si>
  <si>
    <t>シート</t>
  </si>
  <si>
    <t>こんな人におすすめ</t>
  </si>
  <si>
    <t>01_結論サマリ</t>
  </si>
  <si>
    <t>よくある疑問8つに一問一答で回答</t>
  </si>
  <si>
    <t>忙しい人・まず全体像を知りたい人</t>
  </si>
  <si>
    <t>02_たとえ話（小学生向け）</t>
  </si>
  <si>
    <t>レストランの「レシピノート」と「しおり」で現象をお話に</t>
  </si>
  <si>
    <t>ECSに詳しくない人・説明に使いたい人</t>
  </si>
  <si>
    <t>03_根本原因</t>
  </si>
  <si>
    <t>直接原因・既定値・引き金・構造・運用の5層で原因を分解（連鎖図つき）</t>
  </si>
  <si>
    <t>原因を正確に理解したい人</t>
  </si>
  <si>
    <t>04_動作原理</t>
  </si>
  <si>
    <t>タスク定義とサービスの違い、判定フロー、しきい値計算（数式）、状態遷移</t>
  </si>
  <si>
    <t>仕組みを深く知りたい人</t>
  </si>
  <si>
    <t>05_動作イメージ</t>
  </si>
  <si>
    <t>rev13→14→15…の時系列、リビジョン×時間マトリクス図、タスク数の推移</t>
  </si>
  <si>
    <t>動きを頭の中で再現したい人</t>
  </si>
  <si>
    <t>06_巻き戻さない設定</t>
  </si>
  <si>
    <t>「巻き戻さない」ための6方式をメリット・リスク・おすすめ度で比較</t>
  </si>
  <si>
    <t>設定を変えるか判断したい人</t>
  </si>
  <si>
    <t>07_設定手順・コマンド</t>
  </si>
  <si>
    <t>コンソール／CLI／CloudFormation／Terraform／CDK の設定と確認コマンド</t>
  </si>
  <si>
    <t>実際に設定・確認する人</t>
  </si>
  <si>
    <t>08_推奨運用チェック</t>
  </si>
  <si>
    <t>ループを断ち切るためのチェックリスト（記入欄つき）</t>
  </si>
  <si>
    <t>運用担当・チームリーダー</t>
  </si>
  <si>
    <t>09_失敗原因の調べ方</t>
  </si>
  <si>
    <t>ヘルスチェック失敗など、そもそもの失敗原因の調べ方と対処</t>
  </si>
  <si>
    <t>rev14以降の失敗を直したい人</t>
  </si>
  <si>
    <t>10_歴史と背景</t>
  </si>
  <si>
    <t>ECS誕生（2014年）〜2026年9月の関連機能の歴史と、必要になった経緯</t>
  </si>
  <si>
    <t>背景を知りたい人</t>
  </si>
  <si>
    <t>11_用語集</t>
  </si>
  <si>
    <t>用語と英語・API名の対応表</t>
  </si>
  <si>
    <t>用語を確認したい人</t>
  </si>
  <si>
    <t>12_参考情報</t>
  </si>
  <si>
    <t>根拠としたAWS公式ドキュメント・What's New のURL</t>
  </si>
  <si>
    <t>裏付けを確認したい人</t>
  </si>
  <si>
    <t>結論サマリ（一問一答）</t>
  </si>
  <si>
    <t>よくある疑問に「ひとことで」と「くわしく」の2段階で答えます</t>
  </si>
  <si>
    <t>■ よくある質問と答え</t>
  </si>
  <si>
    <t>No</t>
  </si>
  <si>
    <t>質問</t>
  </si>
  <si>
    <t>ひとことで答えると</t>
  </si>
  <si>
    <t>くわしく</t>
  </si>
  <si>
    <t>関連シート</t>
  </si>
  <si>
    <t>1</t>
  </si>
  <si>
    <t>なぜデプロイに失敗するたびに、リビジョン13に戻ってしまうのか？</t>
  </si>
  <si>
    <t>デプロイサーキットブレーカーの「失敗時のロールバック」が働いているから。</t>
  </si>
  <si>
    <t>新しいデプロイで「タスクが RUNNING にならない」「ヘルスチェックに失敗して置き換えられる」という失敗の数が“しきい値”に達すると、ECS はそのデプロイを FAILED にします。ロールバックが ON だと、ECS は直近で COMPLETED（成功）になっているデプロイ（＝rev13 を使っていたデプロイ）を探し、それを再び IN_PROGRESS にして旧構成のタスクを起動し直します。結果として、サービスの「タスク定義」欄が rev13 に戻ります。</t>
  </si>
  <si>
    <t>03, 04</t>
  </si>
  <si>
    <t>2</t>
  </si>
  <si>
    <t>タスク定義そのものが13の内容に書き換えられているのか？</t>
  </si>
  <si>
    <t>いいえ。タスク定義は一度登録すると変更できず、ロールバックでも作成・削除・変更されません。</t>
  </si>
  <si>
    <t>タスク定義はリビジョン単位でイミュータブル（不変）です。ロールバックで戻るのは「サービスがどのリビジョン（正確にはサービスリビジョン）を使うか」という参照だけ。AWS ドキュメントにも「ロールバックでは新しいサービスリビジョンは作られず、最後に成功したサービスリビジョンを使う」と明記されています。rev14・15 は「タスク定義」画面に ACTIVE のまま残っています。</t>
  </si>
  <si>
    <t>04</t>
  </si>
  <si>
    <t>3</t>
  </si>
  <si>
    <t>それなら、なぜ「13の中身に戻って、リビジョン番号だけ増える」ように見えるのか？</t>
  </si>
  <si>
    <t>次の修正を「サービスが今指している rev13」から作っているため。</t>
  </si>
  <si>
    <t>ロールバック後、サービス詳細画面のタスク定義リンクは rev13 を指します。そこから「新しいリビジョンの作成」をすると rev13 のコピーが元になり、rev14 で行った修正（修正A）が入っていない rev15 ができます。CI/CD スクリプトが「サービスの現在のタスク定義」をテンプレートにしている場合も同じです。修正Aが無いので再び失敗 → 再びロールバック → また13から作る…のループになります。</t>
  </si>
  <si>
    <t>03, 05</t>
  </si>
  <si>
    <t>4</t>
  </si>
  <si>
    <t>失敗しても巻き戻らない設定はできるのか？</t>
  </si>
  <si>
    <t>できます。「失敗時のロールバック（Rollback on failures）」を OFF（rollback=false）にします。</t>
  </si>
  <si>
    <t>サーキットブレーカー自体は ON のまま、ロールバックだけを OFF にできます。CloudWatch アラームによる失敗検出を使っている場合は、アラーム側の「失敗時のロールバック」も OFF にします（どちらか一方でも ON なら戻ります）。コンソール、CLI、CloudFormation、Terraform、CDK のいずれでも設定できます。</t>
  </si>
  <si>
    <t>06, 07</t>
  </si>
  <si>
    <t>5</t>
  </si>
  <si>
    <t>ロールバックを OFF にすると、失敗時にどうなるのか？</t>
  </si>
  <si>
    <t>デプロイは FAILED で止まり、サービスは失敗したリビジョンを指したまま。新しいタスクの起動もしない。</t>
  </si>
  <si>
    <t>AWS ドキュメント上「FAILED 状態のデプロイは新しいタスクを起動しない」とされ、サービスデプロイの状態は STOP_REQUESTED → STOPPED になります。旧リビジョンのタスクは、ローリング中に止められていなければ動き続けます。ただし最小実行タスク％（minimumHealthyPercent）を100%未満にしていると、旧タスクの一部が先に止められ、必要数に満たないまま止まるリスクがあります。</t>
  </si>
  <si>
    <t>04, 06</t>
  </si>
  <si>
    <t>6</t>
  </si>
  <si>
    <t>サーキットブレーカー自体を OFF にしたら？</t>
  </si>
  <si>
    <t>失敗判定をしないので、ECS は成功するまで永久に再試行します（非推奨）。</t>
  </si>
  <si>
    <t>デプロイは IN_PROGRESS のまま終わりません。RUNNING にならずに止まるタスクは「サービススロットリング」で再試行の間隔が最大27分まで伸びますが、ヘルスチェック失敗による停止はスロットリングの対象外のため、失敗→再起動を繰り返してログや費用がかさむことがあります。</t>
  </si>
  <si>
    <t>06</t>
  </si>
  <si>
    <t>7</t>
  </si>
  <si>
    <t>おすすめの対処は？</t>
  </si>
  <si>
    <t>本番はロールバック ON のまま、リビジョンの「作り方」と「試し方」を変えるのが基本。</t>
  </si>
  <si>
    <t>①新リビジョンは必ず“最新リビジョン”または“Git管理のJSON”から作る、②サービス更新画面でリビジョン番号を毎回確認、③まず run-task でサービス外で単体起動しヘルスチェックを確認、④開発・検証環境だけロールバック OFF、⑤起動が遅いアプリは startPeriod／ヘルスチェック猶予期間／しきい値設定（2026年7月〜）を調整、⑥停止理由・ログから失敗の根本原因を潰す。</t>
  </si>
  <si>
    <t>08, 09</t>
  </si>
  <si>
    <t>8</t>
  </si>
  <si>
    <t>最新（2024〜2026年）で役立つ機能は？</t>
  </si>
  <si>
    <t>しきい値の調整、ワンクリック・ロールバック、デプロイ履歴、Action Logs など。</t>
  </si>
  <si>
    <t>2026/07：サーキットブレーカーのしきい値（固定回数／割合）と数え方（連続／累積）を設定可能に。2025/05：stop-service-deployment による手動ロールバック。2024/11：サービスリビジョン／デプロイ履歴（どの構成に戻ったかを確認可能）。2026/07：Action Logs（デプロイ中の ECS の動作記録、Amazon Q による原因分析）。2026/09：Early Success Criteria（早期成功判定）。</t>
  </si>
  <si>
    <t>10</t>
  </si>
  <si>
    <t>小学生にもわかる たとえ話 ― レストランの「レシピノート」と「しおり」</t>
  </si>
  <si>
    <t>ECS の登場人物をレストランにたとえると、なぜ「巻き戻る」のかがスッキリわかります</t>
  </si>
  <si>
    <t>■ 登場人物（ECS の用語 ⇔ レストラン）</t>
  </si>
  <si>
    <t>ECS の用語</t>
  </si>
  <si>
    <t>たとえ（レストラン）</t>
  </si>
  <si>
    <t>ひとことで言うと</t>
  </si>
  <si>
    <t>タスク定義</t>
  </si>
  <si>
    <t>レシピノートの1ページ</t>
  </si>
  <si>
    <t>料理の作り方を書いた紙。材料（コンテナイメージ）、量（CPU・メモリ）、味見の方法（ヘルスチェック）などが書いてある。</t>
  </si>
  <si>
    <t>リビジョン（13、14、15…）</t>
  </si>
  <si>
    <t>ページ番号</t>
  </si>
  <si>
    <t>書き直すたびに新しいページが1枚増える。前のページは消しゴムで消せないし、破られることもない（イミュータブル）。</t>
  </si>
  <si>
    <t>サービス</t>
  </si>
  <si>
    <t>店長（厨房の責任者）</t>
  </si>
  <si>
    <t>「いつも○皿、このページのレシピで作り続けてね」という約束を守り続ける係。</t>
  </si>
  <si>
    <t>サービスが使うリビジョン</t>
  </si>
  <si>
    <t>しおり</t>
  </si>
  <si>
    <t>ノートの「どのページで作るか」を示すしおり。今回“巻き戻っている”のは、実はこのしおり。</t>
  </si>
  <si>
    <t>タスク</t>
  </si>
  <si>
    <t>出来上がった料理（お皿）</t>
  </si>
  <si>
    <t>レシピ通りに実際に作られたもの。</t>
  </si>
  <si>
    <t>コンテナヘルスチェック</t>
  </si>
  <si>
    <t>味見係</t>
  </si>
  <si>
    <t>一定時間ごとに「おいしい？」とチェック。決められた回数続けてダメなら「この料理はダメ」と判定。</t>
  </si>
  <si>
    <t>ロードバランサー</t>
  </si>
  <si>
    <t>ウェイター</t>
  </si>
  <si>
    <t>お客さんに料理を運ぶ係。ダメな料理は運ばない。</t>
  </si>
  <si>
    <t>デプロイ</t>
  </si>
  <si>
    <t>新メニューへの切り替え</t>
  </si>
  <si>
    <t>古い料理を少しずつ新しい料理に入れ替える作業。</t>
  </si>
  <si>
    <t>9</t>
  </si>
  <si>
    <t>デプロイサーキットブレーカー</t>
  </si>
  <si>
    <t>家のブレーカー（安全装置）</t>
  </si>
  <si>
    <t>失敗が続いたら「新メニュー中止！」とバチンと止めて、お店を守る。</t>
  </si>
  <si>
    <t>失敗時のロールバック</t>
  </si>
  <si>
    <t>しおりを戻すスイッチ</t>
  </si>
  <si>
    <t>中止したあと、しおりを「最後にうまくいったページ」に自動で戻すかどうか。</t>
  </si>
  <si>
    <t>11</t>
  </si>
  <si>
    <t>しきい値</t>
  </si>
  <si>
    <t>「何回失敗したら中止するか」の回数</t>
  </si>
  <si>
    <t>ふつうは「作るお皿の数の半分」。ただし最低3回、最大200回。</t>
  </si>
  <si>
    <t>12</t>
  </si>
  <si>
    <t>サービスリビジョン</t>
  </si>
  <si>
    <t>調理記録帳</t>
  </si>
  <si>
    <t>「どのページを、どの材料（イメージの指紋＝ダイジェスト）で、どんな厨房の設定で作ったか」の記録。戻るときはこの記録どおりに戻す。</t>
  </si>
  <si>
    <t>■ お話：なぜ「13ページに巻き戻る」の？</t>
  </si>
  <si>
    <t>お話</t>
  </si>
  <si>
    <t>あるレストランでは、レシピノートの13ページの料理が大人気。毎日うまく作れていました。（rev13 で成功）</t>
  </si>
  <si>
    <t>あなたは料理を良くしようと、14ページに新しいレシピ（修正A）を書きました。13ページはそのまま残っています。（rev14 を登録）</t>
  </si>
  <si>
    <t>店長に「しおりを14ページにはさみ替えて！」とお願いしました。（サービスを更新）</t>
  </si>
  <si>
    <t>厨房で14ページの料理を作り始めましたが、味見係が「ダメ！」「ダメ！」と言い続けます。（コンテナヘルスチェック失敗）</t>
  </si>
  <si>
    <t>ダメが3回続いたところで、安全装置がバチン！「新メニュー中止！お客さんに迷惑がかかる！」（サーキットブレーカーが FAILED と判定）</t>
  </si>
  <si>
    <t>「しおりを戻すスイッチ」が ON なので、店長はしおりを“最後にうまくいった13ページ”に戻し、元の料理で営業を続けます。（ロールバック）</t>
  </si>
  <si>
    <t>★ここが大事★　14ページは破られていません。ノートにちゃんと残っています。戻ったのは「しおり」だけです。（rev14 は ACTIVE のまま）</t>
  </si>
  <si>
    <t>次にあなたが直そうとしたとき、“しおりがはさまっている13ページ”を開いて写し、修正Bだけを足して15ページを書きました。（rev13 をコピーして rev15 を作成）</t>
  </si>
  <si>
    <t>すると15ページには、14ページで直した修正Aが入っていません。「あれ？ ノートが13ページに巻き戻った！？」と感じてしまうのです。</t>
  </si>
  <si>
    <t>修正Aが無いのでまた失敗 → またしおりが13に戻る → また13を写す…。ページ番号（リビジョン）だけが増えていき、中身はいつも「13ページ＋ちょっと」のまま、というループになります。</t>
  </si>
  <si>
    <t>解決のコツ：①新しいページは「いちばん新しいページ」か「自分の下書き帳（Git）」から書く。②しおりをはさむ前にページ番号を確認。③お店に出す前に試食コーナー（run-task）で味見。④練習用のお店（開発環境）なら「しおりを戻すスイッチ」を切ってもOK。</t>
  </si>
  <si>
    <t>■ 「しおりを戻さない」スイッチはあるの？</t>
  </si>
  <si>
    <t>あります。安全装置（サーキットブレーカー）には『①失敗を見つけて止める』と『②しおりを自動で戻す』の2つの働きがあり、②だけを切ることができます（＝失敗時のロールバックを OFF）。</t>
  </si>
  <si>
    <t>でも注意！ 本番のお店で②を切ると、新しい料理づくりは止まるのに、しおりは失敗したページのまま。お皿が足りないまま止まってしまうこともあります。だから「本番はスイッチ ON、練習のお店では OFF」と使い分けるのがおすすめです。</t>
  </si>
  <si>
    <t>ちなみに、①まで切る（安全装置ごと外す）と、ダメな料理を永遠に作り直し続けます。これはおすすめしません。</t>
  </si>
  <si>
    <t>根本原因の分析 ― 5つの層で分解する</t>
  </si>
  <si>
    <t>「なぜ戻るのか」と「なぜ“タスク定義が”戻ったように見えるのか」は、別々の原因です</t>
  </si>
  <si>
    <t>■ 原因の全体像（5層＋補足）</t>
  </si>
  <si>
    <t>層</t>
  </si>
  <si>
    <t>原因</t>
  </si>
  <si>
    <t>何が起きているか（くわしく）</t>
  </si>
  <si>
    <t>確認する場所・方法</t>
  </si>
  <si>
    <t>① 直接原因
（ECS の仕様）</t>
  </si>
  <si>
    <t>デプロイサーキットブレーカーの「失敗時のロールバック」が ON</t>
  </si>
  <si>
    <t>新しいデプロイの失敗数がしきい値に達するとデプロイが FAILED になる。ロールバック ON の場合、ECS は直近の COMPLETED デプロイ（rev13 を使っていたもの）をロールバック先に選び、そのデプロイを COMPLETED → IN_PROGRESS に戻して旧構成のタスクを起動する。結果、サービスのタスク定義欄が rev13 になる。</t>
  </si>
  <si>
    <t>コンソール：サービス →「デプロイ」タブ（ロールバックの有無・理由）、「イベント」タブ。
CLI：describe-services の deployments[].rolloutState／rolloutStateReason、list-service-deployments の status（ROLLBACK_SUCCESSFUL など）</t>
  </si>
  <si>
    <t>② 既定値
（気づきにくさ）</t>
  </si>
  <si>
    <t>新コンソールでサービスを作ると「サーキットブレーカー」＋「失敗時のロールバック」が既定で ON</t>
  </si>
  <si>
    <t>自分で有効にした覚えがなくても、コンソールで作成したサービスではロールバックが働く。一方、CLI／API／CloudFormation で作成した場合の既定は「無効」なので、環境ごとに挙動が違って混乱しやすい。</t>
  </si>
  <si>
    <t>サービス →「サービスを更新」→「デプロイの失敗検出」。
CLI：describe-services の deploymentConfiguration.deploymentCircuitBreaker</t>
  </si>
  <si>
    <t>③ 引き金
（なぜ失敗判定されるか）</t>
  </si>
  <si>
    <t>コンテナヘルスチェックの失敗／タスクが RUNNING にならない</t>
  </si>
  <si>
    <t>判定は2段階。ステージ1：タスクが RUNNING になるか（イメージ取得失敗・権限不足・メモリ不足などで落ちると失敗+1）。ステージ2：ELB・Cloud Map・コンテナヘルスチェックで不健全 → 置き換えで失敗+1。しきい値は既定で「必要タスク数×50%（切り上げ）、最小3・最大200」。2024年1月に最小値が10→3に下がったため、タスク数の少ないサービスは3回の失敗ですぐロールバックされる。</t>
  </si>
  <si>
    <t>停止済みタスクの「停止理由」、コンテナの終了コード・healthStatus、CloudWatch Logs。
→ シート「09_失敗原因の調べ方」</t>
  </si>
  <si>
    <t>④ 構造
（設計思想）</t>
  </si>
  <si>
    <t>タスク定義（不変の台帳）とサービス（参照＋デプロイ履歴）は別物</t>
  </si>
  <si>
    <t>タスク定義は「設計図」で、登録ごとに新リビジョンが増えるだけ（上書き・巻き戻しという概念がない）。サービスは「どの設計図で何個動かすか」を管理し、デプロイごとにサービスリビジョン（構成のスナップショット）を記録する。ロールバックは「最後に成功したサービスリビジョン」への切り替えであり、新しいタスク定義リビジョンもサービスリビジョンも作らない。</t>
  </si>
  <si>
    <t>「タスク定義」→ ファミリー：rev14・15 が ACTIVE で残っていることを確認。
サービス →「デプロイ」→ サービスリビジョンを比較</t>
  </si>
  <si>
    <t>⑤ 見え方の原因
（運用・スクリプト）</t>
  </si>
  <si>
    <t>次の修正を「サービスが今指している rev13」から作っている</t>
  </si>
  <si>
    <t>ロールバック後、サービス画面のタスク定義リンクは rev13。ここから「新しいリビジョンの作成」をすると rev13 のコピーがベースになり、rev14 の修正が欠落した rev15 ができる。CI/CD で「describe-services → 現在のタスク定義を取得 → 書き換え → register」としている場合も同様。さらに、サービス更新画面のリビジョン欄の選択値を確認せずに更新すると、意図しないリビジョンでデプロイしてしまう。</t>
  </si>
  <si>
    <t>各リビジョンの JSON を比較（コンソールの「JSON」タブ、または CLI で describe-task-definition して diff）</t>
  </si>
  <si>
    <t>補足
（イメージ）</t>
  </si>
  <si>
    <t>タグ（:latest など）を上書きしていても、ロールバックは rev13 デプロイ時に確定したイメージダイジェストで起動</t>
  </si>
  <si>
    <t>2024年7月の「ソフトウェアバージョン一貫性」により、デプロイ開始時にタグ → ダイジェスト（sha256）を確定して記録する。ロールバックではその記録が使われるため、「新しいイメージを push したのに古いイメージで動いている」と感じる原因にもなる。</t>
  </si>
  <si>
    <t>describe-tasks の containers[].imageDigest、サービスリビジョンの containerImages</t>
  </si>
  <si>
    <t>■ 原因の連鎖（ループの正体）</t>
  </si>
  <si>
    <t>STEP 1</t>
  </si>
  <si>
    <t>修正Aを入れて rev14 を登録</t>
  </si>
  <si>
    <t>ここまでは正常。rev13 は台帳にそのまま残る</t>
  </si>
  <si>
    <t>▼</t>
  </si>
  <si>
    <t>STEP 2</t>
  </si>
  <si>
    <t>サービスを rev14 で更新（デプロイ開始）</t>
  </si>
  <si>
    <t>サービスの参照先が rev14 に切り替わる（デプロイ中）</t>
  </si>
  <si>
    <t>STEP 3</t>
  </si>
  <si>
    <t>コンテナヘルスチェックの失敗が しきい値（例：3回）に到達</t>
  </si>
  <si>
    <t>引き金（③）</t>
  </si>
  <si>
    <t>STEP 4</t>
  </si>
  <si>
    <t>デプロイが FAILED → 自動ロールバック → サービスは rev13 に</t>
  </si>
  <si>
    <t>直接原因（①②）。rev14 は台帳に残る（④）</t>
  </si>
  <si>
    <t>STEP 5</t>
  </si>
  <si>
    <t>サービス画面のリンク（rev13）から「新しいリビジョンの作成」</t>
  </si>
  <si>
    <t>見え方の原因（⑤）</t>
  </si>
  <si>
    <t>STEP 6</t>
  </si>
  <si>
    <t>rev15 ＝ rev13 ＋ 修正B（修正A が欠落）</t>
  </si>
  <si>
    <t>「13に巻き戻った」と錯覚するポイント</t>
  </si>
  <si>
    <t>STEP 7</t>
  </si>
  <si>
    <t>rev15 でデプロイ → 修正A が無いので再び失敗 → 再び rev13 へ</t>
  </si>
  <si>
    <t>→ STEP 5 に戻る（無限ループ）</t>
  </si>
  <si>
    <t>■ ひとことでまとめると</t>
  </si>
  <si>
    <t>『13に戻る』のは、ECS の安全装置が本番を守るために“正しく”動いた結果（仕様）です。『タスク定義が巻き戻ったように見える』のは、ロールバック後の rev13 をベースに次のリビジョンを作ってしまう運用上の落とし穴です。前者は設定（失敗時のロールバック OFF）で止められ、後者はリビジョンの作り方を変えれば止められます。</t>
  </si>
  <si>
    <t>動作原理 ― サーキットブレーカーとロールバックの仕組み</t>
  </si>
  <si>
    <t>タスク定義とサービスの関係、判定フロー、しきい値計算（数式入り）、状態遷移、戻るもの／戻らないもの</t>
  </si>
  <si>
    <t>■ 1. タスク定義とサービスは「別の箱」</t>
  </si>
  <si>
    <t>観点</t>
  </si>
  <si>
    <t>タスク定義（Task Definition）</t>
  </si>
  <si>
    <t>サービス（Service）</t>
  </si>
  <si>
    <t>ロールバックではどうなる？</t>
  </si>
  <si>
    <t>役割</t>
  </si>
  <si>
    <t>設計図（どのイメージを、どれだけの CPU／メモリで、どう起動し、どうヘルスチェックするか）</t>
  </si>
  <si>
    <t>実行管理者（どの設計図のタスクを何個、どのネットワーク／ロードバランサーで動かし続けるか）</t>
  </si>
  <si>
    <t>ロールバックは「サービス」側の出来事</t>
  </si>
  <si>
    <t>変更の方法</t>
  </si>
  <si>
    <t>新しいリビジョンを登録（RegisterTaskDefinition）。既存リビジョンは変更不可</t>
  </si>
  <si>
    <t>UpdateService（コンソールの「サービスを更新」）</t>
  </si>
  <si>
    <t>―</t>
  </si>
  <si>
    <t>履歴の持ち方</t>
  </si>
  <si>
    <t>リビジョン番号 1, 2, 3…（番号は再利用されない）</t>
  </si>
  <si>
    <t>サービスデプロイ＋サービスリビジョン（2024年10月25日以降に作成されたもの。直近90日分を表示）</t>
  </si>
  <si>
    <t>ロールバックでは新しいサービスリビジョンは作られず、最後に成功したものが再利用される</t>
  </si>
  <si>
    <t>状態</t>
  </si>
  <si>
    <t>ACTIVE／INACTIVE（登録解除）／DELETE_IN_PROGRESS</t>
  </si>
  <si>
    <t>rolloutState：IN_PROGRESS／COMPLETED／FAILED</t>
  </si>
  <si>
    <t>ロールバックの影響</t>
  </si>
  <si>
    <t>なし（作成も削除も変更もされない。rev14・15 は ACTIVE のまま）</t>
  </si>
  <si>
    <t>参照先が「最後に成功したサービスリビジョン」（タスク定義・イメージダイジェスト等）に戻る</t>
  </si>
  <si>
    <t>見た目上「サービスのタスク定義が13に戻る」</t>
  </si>
  <si>
    <t>■ 2. サーキットブレーカーの判定フロー</t>
  </si>
  <si>
    <t>新しいデプロイが始まる（サービスを更新／強制デプロイ）</t>
  </si>
  <si>
    <t>失敗カウント＝0 から開始</t>
  </si>
  <si>
    <t>【ステージ1】新しいタスクが RUNNING になるか監視</t>
  </si>
  <si>
    <t>RUNNING にならずに停止 → 失敗＋1（イメージ取得失敗、権限不足、リソース不足など）。1つでも RUNNING になればステージ2へ</t>
  </si>
  <si>
    <t>【ステージ2】ヘルスチェックを監視（ELB／Cloud Map／コンテナヘルスチェック）</t>
  </si>
  <si>
    <t>不健全で置き換えられたタスク → 失敗＋1。ヘルスチェック猶予期間中の不健全は無視</t>
  </si>
  <si>
    <t>失敗カウント ≧ しきい値 ？</t>
  </si>
  <si>
    <t>NO：続行 → 全タスクが健全で安定すれば COMPLETED（成功）。既定では健全なタスクが出るとカウントは0に戻る（連続失敗のみカウント）</t>
  </si>
  <si>
    <t>YES：デプロイを FAILED にする（以後、新しいタスクを起動しない）</t>
  </si>
  <si>
    <t>EventBridge に SERVICE_DEPLOYMENT_FAILED イベントが送られる</t>
  </si>
  <si>
    <t>「失敗時のロールバック」は ON？</t>
  </si>
  <si>
    <t>コンソール作成のサービスは既定で ON</t>
  </si>
  <si>
    <t>分岐</t>
  </si>
  <si>
    <t>ON の場合（既定）</t>
  </si>
  <si>
    <t>OFF の場合</t>
  </si>
  <si>
    <t>動き</t>
  </si>
  <si>
    <t>直近の COMPLETED デプロイ（rev13）を IN_PROGRESS に戻し、旧構成のタスクを起動 → 安定したら COMPLETED</t>
  </si>
  <si>
    <t>そのまま停止。新しいタスクは起動しない。サービスは失敗したリビジョンを指したまま</t>
  </si>
  <si>
    <t>サービスデプロイの状態</t>
  </si>
  <si>
    <t>ROLLBACK_IN_PROGRESS → ROLLBACK_SUCCESSFUL（失敗時は ROLLBACK_FAILED）</t>
  </si>
  <si>
    <t>STOP_REQUESTED → STOPPED</t>
  </si>
  <si>
    <t>サービスの参照先</t>
  </si>
  <si>
    <t>rev13（最後に成功したサービスリビジョン）</t>
  </si>
  <si>
    <t>rev14／rev15（失敗したリビジョン）</t>
  </si>
  <si>
    <t>注意：COMPLETED のデプロイが1つも無い場合（初回デプロイの失敗、ロールバック実行中に次のデプロイを始めて失敗した場合など）は、ロールバック先が無いため、新しいタスクも起動されずデプロイが止まります（stalled）。</t>
  </si>
  <si>
    <t>■ 3. しきい値の計算（数式入り：グレーの入力セルを変えて試せます）</t>
  </si>
  <si>
    <t>既定は BOUNDED_PERCENT（value=50）＝『必要タスク数 × value% を切り上げ、最小3・最大200 に収める』。2026年7月からは、種類（BOUNDED_PERCENT／UNBOUNDED_PERCENT／COUNT）と値を変更できます。</t>
  </si>
  <si>
    <t>value（％）</t>
  </si>
  <si>
    <t>← 入力セル：割合タイプ（BOUNDED／UNBOUNDED_PERCENT）の値（1〜100）。既定は 50</t>
  </si>
  <si>
    <t>COUNT の値</t>
  </si>
  <si>
    <t>← 入力セル：COUNT タイプの固定回数（例：5）</t>
  </si>
  <si>
    <t>必要タスク数</t>
  </si>
  <si>
    <t>BOUNDED_PERCENT
（既定・最小3／最大200）</t>
  </si>
  <si>
    <t>UNBOUNDED_PERCENT
（上下限なし）</t>
  </si>
  <si>
    <t>COUNT
（固定回数）</t>
  </si>
  <si>
    <t>読み方（value=50 のとき）</t>
  </si>
  <si>
    <t>最小値3が適用。1タスクのサービスでも、3回失敗で FAILED</t>
  </si>
  <si>
    <t>最小値3が適用</t>
  </si>
  <si>
    <t>1.5 → 切り上げ2 だが、最小値3が適用</t>
  </si>
  <si>
    <t>2 → 最小値3が適用</t>
  </si>
  <si>
    <t>ちょうど3</t>
  </si>
  <si>
    <t>5回で FAILED</t>
  </si>
  <si>
    <t>12.5 → 切り上げ13（AWS ドキュメントの例と一致）</t>
  </si>
  <si>
    <t>50回で FAILED</t>
  </si>
  <si>
    <t>上限200 で頭打ち</t>
  </si>
  <si>
    <t>BOUNDED は上限200、UNBOUNDED なら400</t>
  </si>
  <si>
    <t>※ 2024年1月より前は最小値が10でした（例：必要タスク数3のサービスのしきい値は 10 → 3 に短縮）。※ 計算には“最新の”必要タスク数が使われます。</t>
  </si>
  <si>
    <t>■ 4. 失敗の数え方（resetOnHealthyTask・2026年7月〜）</t>
  </si>
  <si>
    <t>設定値</t>
  </si>
  <si>
    <t>数え方</t>
  </si>
  <si>
    <t>向いているケース</t>
  </si>
  <si>
    <t>true（既定）</t>
  </si>
  <si>
    <t>健全なタスクが1つ出るたびに、失敗カウントを0に戻す（連続した失敗だけを数える）</t>
  </si>
  <si>
    <t>起動直後に一時的な失敗が起きても、最終的に安定するアプリ</t>
  </si>
  <si>
    <t>false</t>
  </si>
  <si>
    <t>失敗をデプロイ全体で累積する。健全なタスクが間に出てもリセットしない</t>
  </si>
  <si>
    <t>「ときどき失敗する」状態も見逃さず、早めに止めたい場合</t>
  </si>
  <si>
    <t>■ 5. 状態の対応表（“デプロイの状態”と“サービスデプロイの状態”の2種類がある）</t>
  </si>
  <si>
    <t>場面</t>
  </si>
  <si>
    <t>DescribeServices の rolloutState
（デプロイ単位）</t>
  </si>
  <si>
    <t>サービスデプロイの状態
（ListServiceDeployments）</t>
  </si>
  <si>
    <t>説明</t>
  </si>
  <si>
    <t>開始・進行中</t>
  </si>
  <si>
    <t>IN_PROGRESS</t>
  </si>
  <si>
    <t>PENDING → IN_PROGRESS</t>
  </si>
  <si>
    <t>新しいタスクを起動して入れ替え中</t>
  </si>
  <si>
    <t>成功</t>
  </si>
  <si>
    <t>COMPLETED</t>
  </si>
  <si>
    <t>SUCCESSFUL</t>
  </si>
  <si>
    <t>定常状態に到達。この状態のデプロイが、次回のロールバック先になる</t>
  </si>
  <si>
    <t>失敗＋ロールバック ON</t>
  </si>
  <si>
    <t>新：FAILED
旧：COMPLETED → IN_PROGRESS → COMPLETED</t>
  </si>
  <si>
    <t>ROLLBACK_IN_PROGRESS → ROLLBACK_SUCCESSFUL（または ROLLBACK_FAILED）</t>
  </si>
  <si>
    <t>今回の現象。サービスのタスク定義が rev13 に戻る</t>
  </si>
  <si>
    <t>失敗＋ロールバック OFF</t>
  </si>
  <si>
    <t>FAILED</t>
  </si>
  <si>
    <t>新しいタスクは起動しない。参照先は失敗リビジョンのまま</t>
  </si>
  <si>
    <t>手動ロールバック（2025/05〜）</t>
  </si>
  <si>
    <t>（ロールバック用のデプロイが進行）</t>
  </si>
  <si>
    <t>ROLLBACK_REQUESTED → ROLLBACK_IN_PROGRESS → …</t>
  </si>
  <si>
    <t>コンソールの「ロールバック」ボタン、または stop-service-deployment --stop-type ROLLBACK</t>
  </si>
  <si>
    <t>進行中に別の更新</t>
  </si>
  <si>
    <t>旧デプロイは新デプロイに置き換え</t>
  </si>
  <si>
    <t>進行中のデプロイに別の更新をかけた場合</t>
  </si>
  <si>
    <t>■ 6. ロールバックで「戻るもの」と「戻らないもの」</t>
  </si>
  <si>
    <t>区分</t>
  </si>
  <si>
    <t>戻る</t>
  </si>
  <si>
    <t>サービスが使うタスク定義リビジョン</t>
  </si>
  <si>
    <t>rev15 → rev13。サービス画面の「タスク定義」欄の表示が変わる</t>
  </si>
  <si>
    <t>コンテナイメージ</t>
  </si>
  <si>
    <t>rev13 のデプロイ時に確定したイメージダイジェストで起動（タグを上書きしていても旧イメージ）</t>
  </si>
  <si>
    <t>サービスリビジョンに記録された構成</t>
  </si>
  <si>
    <t>最後に成功したサービスリビジョン（タスク定義、イメージ、ネットワーク・ロードバランサー等のデプロイ時の構成）を使って戻す</t>
  </si>
  <si>
    <t>戻らない</t>
  </si>
  <si>
    <t>タスク定義リビジョン14・15の中身</t>
  </si>
  <si>
    <t>ACTIVE のまま残る。削除も変更もされない</t>
  </si>
  <si>
    <t>リビジョン番号のカウンタ</t>
  </si>
  <si>
    <t>次に登録すると16になる（番号は再利用されない）</t>
  </si>
  <si>
    <t>ECR のイメージ</t>
  </si>
  <si>
    <t>削除されない。タグの付け替えもされない</t>
  </si>
  <si>
    <t>動作イメージ ― 時間の流れで見る「巻き戻り」</t>
  </si>
  <si>
    <t>rev13 で成功 → rev14 以降で失敗、を繰り返したときに、台帳（タスク定義）と しおり（サービスの参照先）がどう動くか</t>
  </si>
  <si>
    <t>■ 1. ステップごとの動き（ループに入る典型例）</t>
  </si>
  <si>
    <t>STEP</t>
  </si>
  <si>
    <t>あなたの操作</t>
  </si>
  <si>
    <t>ECS の内部動作</t>
  </si>
  <si>
    <t>タスク定義の台帳</t>
  </si>
  <si>
    <t>デプロイ状態</t>
  </si>
  <si>
    <t>画面の見え方</t>
  </si>
  <si>
    <t>T1</t>
  </si>
  <si>
    <t>（過去に）rev13 でデプロイ</t>
  </si>
  <si>
    <t>全タスクが健全に。デプロイは COMPLETED</t>
  </si>
  <si>
    <t>rev1〜13</t>
  </si>
  <si>
    <t>rev13</t>
  </si>
  <si>
    <t>正常</t>
  </si>
  <si>
    <t>T2</t>
  </si>
  <si>
    <t>登録のみ（サービスは何も変わらない）</t>
  </si>
  <si>
    <t>rev1〜14</t>
  </si>
  <si>
    <t>T3</t>
  </si>
  <si>
    <t>サービスを rev14 で更新</t>
  </si>
  <si>
    <t>新タスク起動 → コンテナヘルスチェック失敗 → 置き換え…失敗数を加算</t>
  </si>
  <si>
    <t>rev14
（デプロイ中）</t>
  </si>
  <si>
    <t>デプロイ中</t>
  </si>
  <si>
    <t>T4</t>
  </si>
  <si>
    <t>（何もしない）</t>
  </si>
  <si>
    <t>失敗数がしきい値に到達 → FAILED → 直近の COMPLETED（rev13）へ自動ロールバック</t>
  </si>
  <si>
    <t>rev1〜14
（rev14 は残る）</t>
  </si>
  <si>
    <t>rev14：FAILED
rev13：IN_PROGRESS→COMPLETED</t>
  </si>
  <si>
    <t>「13に戻された！」</t>
  </si>
  <si>
    <t>T5</t>
  </si>
  <si>
    <t>サービス画面のリンク（rev13）から「新しいリビジョンの作成」→ 修正Bを追加</t>
  </si>
  <si>
    <t>rev13 のコピーに修正Bを加えた rev15 を登録（修正Aは入っていない）</t>
  </si>
  <si>
    <t>rev1〜15</t>
  </si>
  <si>
    <t>「13の内容に戻っている！？」</t>
  </si>
  <si>
    <t>T6</t>
  </si>
  <si>
    <t>サービスを rev15 で更新</t>
  </si>
  <si>
    <t>修正Aが無いため再び失敗</t>
  </si>
  <si>
    <t>rev15
（デプロイ中）</t>
  </si>
  <si>
    <t>IN_PROGRESS → FAILED</t>
  </si>
  <si>
    <t>デプロイ中 → 失敗</t>
  </si>
  <si>
    <t>T7</t>
  </si>
  <si>
    <t>再び rev13 へ自動ロールバック</t>
  </si>
  <si>
    <t>rev13：COMPLETED</t>
  </si>
  <si>
    <t>「また13に戻った…」（ループ）</t>
  </si>
  <si>
    <t>T8</t>
  </si>
  <si>
    <t>【正しい手順】最新の rev15（または rev14）をベースに、修正A＋修正Bを含む rev16 を作成。run-task で確認後にデプロイ</t>
  </si>
  <si>
    <t>健全になり COMPLETED</t>
  </si>
  <si>
    <t>rev1〜16</t>
  </si>
  <si>
    <t>rev16</t>
  </si>
  <si>
    <t>解決！</t>
  </si>
  <si>
    <t>■ 2. リビジョン × 時間 マトリクス図</t>
  </si>
  <si>
    <t>凡例：　● ＝ サービスが使用中（しおり）　／　▲ ＝ デプロイ中（起動を試行）　／　× ＝ 失敗（でも台帳には残る）　／　○ ＝ 台帳に存在（ACTIVE・未使用）　／　空白 ＝ まだ存在しない</t>
  </si>
  <si>
    <t>リビジョン（中身）</t>
  </si>
  <si>
    <t>rev13（元の成功版）</t>
  </si>
  <si>
    <t>●</t>
  </si>
  <si>
    <t>○</t>
  </si>
  <si>
    <t>rev14（13＋修正A）</t>
  </si>
  <si>
    <t>▲</t>
  </si>
  <si>
    <t>×</t>
  </si>
  <si>
    <t>rev15（13＋修正B）
※修正Aが欠落</t>
  </si>
  <si>
    <t>rev16（修正A＋B）</t>
  </si>
  <si>
    <t>サービスの参照先
（しおり）</t>
  </si>
  <si>
    <t>rev14</t>
  </si>
  <si>
    <t>rev15</t>
  </si>
  <si>
    <t>何が起きたか</t>
  </si>
  <si>
    <t>成功状態</t>
  </si>
  <si>
    <t>rev14 登録</t>
  </si>
  <si>
    <t>rev14 デプロイ</t>
  </si>
  <si>
    <t>失敗→自動ロールバック</t>
  </si>
  <si>
    <t>rev13 から rev15 作成</t>
  </si>
  <si>
    <t>rev15 デプロイ</t>
  </si>
  <si>
    <t>正しく作った rev16 で成功</t>
  </si>
  <si>
    <t>ポイント：× になった rev14・rev15 も、台帳（タスク定義）からは消えていません（T5 以降も ○）。動いているのは ●（しおり）だけです。ループの原因は T5 で rev13 をベースに rev15 を作ったこと。T8 のように最新リビジョンをベースにすればループは止まります。</t>
  </si>
  <si>
    <t>■ 3. タスク数の推移イメージ（必要タスク数2・最小100%・最大200%・しきい値3 の例）</t>
  </si>
  <si>
    <t>※ わかりやすくするために簡略化したイメージです（実際の起動タイミングや並行数は環境により異なります）。</t>
  </si>
  <si>
    <t>時点</t>
  </si>
  <si>
    <t>rev13 のタスク（旧）</t>
  </si>
  <si>
    <t>rev15 のタスク（新）</t>
  </si>
  <si>
    <t>失敗カウント</t>
  </si>
  <si>
    <t>何が起きているか</t>
  </si>
  <si>
    <t>0分</t>
  </si>
  <si>
    <t>2（健全）</t>
  </si>
  <si>
    <t>0</t>
  </si>
  <si>
    <t>更新開始。最大200% なので、旧2台を残したまま新2台を起動できる</t>
  </si>
  <si>
    <t>1分</t>
  </si>
  <si>
    <t>2台起動 → 1台がヘルスチェック失敗で置き換え</t>
  </si>
  <si>
    <t>ステージ2 で失敗を検知</t>
  </si>
  <si>
    <t>2分</t>
  </si>
  <si>
    <t>置き換えた1台も失敗</t>
  </si>
  <si>
    <t>健全な新タスクが出ないので、カウントはリセットされない</t>
  </si>
  <si>
    <t>3分</t>
  </si>
  <si>
    <t>さらに1台失敗</t>
  </si>
  <si>
    <t>しきい値に到達 → FAILED</t>
  </si>
  <si>
    <t>4分
（ロールバック ON）</t>
  </si>
  <si>
    <t>0（停止）</t>
  </si>
  <si>
    <t>rev13 のデプロイを IN_PROGRESS に → 旧2台が既に健全なので速やかに COMPLETED。サービスは止まらない</t>
  </si>
  <si>
    <t>（参考）
ロールバック OFF</t>
  </si>
  <si>
    <t>新タスクの起動を止めて終了。旧2台は動き続けるが、サービスの参照先は rev15 のまま</t>
  </si>
  <si>
    <t>（注意）
最小50% の場合</t>
  </si>
  <si>
    <t>1 になることも</t>
  </si>
  <si>
    <t>最小実行タスク％が低く最大％も小さいと旧タスクが先に止められることがあり、ロールバック OFF だと容量不足のまま止まるおそれ</t>
  </si>
  <si>
    <t>巻き戻さない設定はできる？ ― 6つの方式を比較</t>
  </si>
  <si>
    <t>結論：可能（失敗時のロールバックを OFF）。ただし“安全装置を外す”ことと引き換え。目的に合わせて選びましょう</t>
  </si>
  <si>
    <t>■ 結論</t>
  </si>
  <si>
    <t>タスク定義そのもの（rev14・15 の中身）は、もともと巻き戻りません（設定は不要）。『失敗してもサービスが新しいリビジョンを指したまま止まってほしい』なら、サーキットブレーカーは ON のまま『失敗時のロールバック』だけを OFF にします。CloudWatch アラームによる失敗検出も併用している場合は、そちらの『失敗時のロールバック』も OFF にしてください。</t>
  </si>
  <si>
    <t>■ 方式の比較</t>
  </si>
  <si>
    <t>方式</t>
  </si>
  <si>
    <t>失敗したときの動き</t>
  </si>
  <si>
    <t>メリット</t>
  </si>
  <si>
    <t>デメリット・リスク</t>
  </si>
  <si>
    <t>おすすめ度・用途</t>
  </si>
  <si>
    <t>A. 既定
（CB ON＋ロールバック ON）</t>
  </si>
  <si>
    <t>enable=true
rollback=true</t>
  </si>
  <si>
    <t>FAILED → 直近の COMPLETED へ自動で戻す</t>
  </si>
  <si>
    <t>rev13 に戻る</t>
  </si>
  <si>
    <t>本番を自動で守る。夜間でも勝手に復旧する</t>
  </si>
  <si>
    <t>原因調査中に何度も戻される。次の修正のベースを間違えやすい</t>
  </si>
  <si>
    <t>◎ 本番</t>
  </si>
  <si>
    <t>B. CB ON＋
ロールバック OFF</t>
  </si>
  <si>
    <t>enable=true
rollback=false</t>
  </si>
  <si>
    <t>FAILED で停止。新しいタスクは起動しない</t>
  </si>
  <si>
    <t>失敗リビジョン（rev15）のまま</t>
  </si>
  <si>
    <t>「巻き戻らない」を実現。失敗した状態を観察しやすい</t>
  </si>
  <si>
    <t>自動で復旧しない。旧タスクが減っていると容量不足のまま止まる。復旧は手動（再デプロイ or 手動ロールバック）</t>
  </si>
  <si>
    <t>○ 開発・検証環境／原因調査中の一時設定</t>
  </si>
  <si>
    <t>C. CB を OFF</t>
  </si>
  <si>
    <t>enable=false</t>
  </si>
  <si>
    <t>失敗判定しない。成功するまで再試行し続ける</t>
  </si>
  <si>
    <t>失敗リビジョンのまま（デプロイが終わらない）</t>
  </si>
  <si>
    <t>設定が単純</t>
  </si>
  <si>
    <t>デプロイが永遠に終わらない。CloudFormation 等は待ち続ける。ログ・費用が増える</t>
  </si>
  <si>
    <t>× 非推奨</t>
  </si>
  <si>
    <t>D. A＋しきい値調整
（2026/07〜）</t>
  </si>
  <si>
    <t>thresholdConfiguration
（COUNT／BOUNDED_PERCENT／UNBOUNDED_PERCENT）
resetOnHealthyTask</t>
  </si>
  <si>
    <t>より多くの失敗を許容してから判定</t>
  </si>
  <si>
    <t>最終的には rev13 に戻る</t>
  </si>
  <si>
    <t>起動が遅い・最初だけ不安定なアプリの“誤ロールバック”を減らせる</t>
  </si>
  <si>
    <t>本当に壊れているときの検知が遅れる</t>
  </si>
  <si>
    <t>○ 起動が遅いアプリの本番</t>
  </si>
  <si>
    <t>E. B＋手動ロールバック
（2025/05〜）</t>
  </si>
  <si>
    <t>rollback=false
＋ stop-service-deployment
--stop-type ROLLBACK</t>
  </si>
  <si>
    <t>自動では戻らないが、ボタン1つで戻せる</t>
  </si>
  <si>
    <t>自分で決める</t>
  </si>
  <si>
    <t>「戻すかどうか」を人が判断できる</t>
  </si>
  <si>
    <t>判断が遅れると影響が長引く</t>
  </si>
  <si>
    <t>○ 慎重に切り替えたい検証環境</t>
  </si>
  <si>
    <t>F. サービスを触らずに検証
（run-task）</t>
  </si>
  <si>
    <t>設定変更なし。
run-task で新リビジョンを単体起動</t>
  </si>
  <si>
    <t>サービスは影響を受けない</t>
  </si>
  <si>
    <t>rev13 のまま（本番影響なし）</t>
  </si>
  <si>
    <t>本番に触れずにヘルスチェックの成否を確認できる</t>
  </si>
  <si>
    <t>ロードバランサー経由の確認は別途必要</t>
  </si>
  <si>
    <t>◎ すべての環境で推奨</t>
  </si>
  <si>
    <t>■ 判断のめやす</t>
  </si>
  <si>
    <t>あなたの状況</t>
  </si>
  <si>
    <t>おすすめ</t>
  </si>
  <si>
    <t>本番環境で、とにかく止めたくない</t>
  </si>
  <si>
    <t>A（ロールバック ON）を維持 ＋ F（run-task）で事前確認 ＋ リビジョンの作り方の見直し（シート08）</t>
  </si>
  <si>
    <t>開発・検証環境で、失敗の原因をじっくり調べたい</t>
  </si>
  <si>
    <t>B（ロールバック OFF）。調べ終わったら A に戻す</t>
  </si>
  <si>
    <t>起動に時間がかかるアプリ（Java・大きなモデルの読み込み等）で誤ロールバックが多い</t>
  </si>
  <si>
    <t>D（しきい値調整）＋ healthCheck.startPeriod／ヘルスチェック猶予期間の見直し</t>
  </si>
  <si>
    <t>戻すかどうかを人が判断したい</t>
  </si>
  <si>
    <t>E（ロールバック OFF ＋ 手動ロールバック）</t>
  </si>
  <si>
    <t>「13に戻った」こと自体より、14の修正が消えるのが困る</t>
  </si>
  <si>
    <t>設定変更は不要。新リビジョンを最新リビジョン（または Git の JSON）から作る運用に変更（シート08）</t>
  </si>
  <si>
    <t>■ ロールバックを OFF にする前の注意</t>
  </si>
  <si>
    <t>・OFF にしても、もともと「タスク定義」は巻き戻らないため、“14の修正が消える問題”（作り方の問題）は解決しません。作り方の見直しが別途必要です。</t>
  </si>
  <si>
    <t>・CloudFormation／CDK／Terraform などで管理しているサービスをコンソールで変更すると、次回の IaC 適用で元に戻ります。設定は IaC 側で変更してください。</t>
  </si>
  <si>
    <t>・CloudFormation／CDK では、ECS のデプロイ失敗がスタック更新の失敗となり、ECS とは別に“スタックのロールバック”（前のタスク定義への更新）が起こることがあります。その際、その更新で作られたタスク定義リビジョンが登録解除（INACTIVE）されることもあります（DeletionPolicy／UpdateReplacePolicy: Retain で保持可能）。</t>
  </si>
  <si>
    <t>・ロールバック OFF で失敗したら、修正版で再デプロイするか、手動ロールバック（コンソールの「ロールバック」または stop-service-deployment）で戻します。</t>
  </si>
  <si>
    <t>設定手順・確認コマンド</t>
  </si>
  <si>
    <t>コンソール／AWS CLI／CloudFormation／Terraform／CDK。※ &lt;...&gt; の部分はご自身の値に置き換えてください</t>
  </si>
  <si>
    <t>■ 1. 失敗時のロールバックを OFF にする（＝失敗しても巻き戻さない）</t>
  </si>
  <si>
    <t>手段</t>
  </si>
  <si>
    <t>手順・コード</t>
  </si>
  <si>
    <t>注意点</t>
  </si>
  <si>
    <t>コンソール</t>
  </si>
  <si>
    <t>1. ECS コンソール → クラスター → 対象サービスを選択 →「更新」（サービスを更新）
2.「デプロイの失敗検出」（Deployment failure detection）を開く
3.「Amazon ECS デプロイサーキットブレーカーを使用」（Use the Amazon ECS deployment circuit breaker）は ON のまま
4. その下の「失敗時のロールバック」（Rollback on failures）のチェックを外す
5.「CloudWatch アラームを使用」も ON なら、そちらの「失敗時のロールバック」も外す
6. タスク定義のリビジョン欄が意図した番号か確認して「更新」</t>
  </si>
  <si>
    <t>・画面の日本語表記はバージョンにより多少異なります
・この更新自体も新しいデプロイを開始します
・IaC 管理のサービスは IaC 側で変更</t>
  </si>
  <si>
    <t>AWS CLI</t>
  </si>
  <si>
    <t># 現在の設定を確認（maximumPercent / minimumHealthyPercent を控える）
aws ecs describe-services --cluster &lt;cluster&gt; --services &lt;service&gt; --query "services[0].deploymentConfiguration"
# ロールバックだけ OFF（CB は ON）にして rev15 でデプロイ
aws ecs update-service --cluster &lt;cluster&gt; --service &lt;service&gt; --task-definition &lt;family&gt;:15 --deployment-configuration '{"maximumPercent":200,"minimumHealthyPercent":100,"deploymentCircuitBreaker":{"enable":true,"rollback":false}}'</t>
  </si>
  <si>
    <t>・maximumPercent／minimumHealthyPercent は現在値に合わせる
・CloudWatch アラーム併用時は "alarms":{"alarmNames":[...],"enable":true,"rollback":false} も指定
・PowerShell では JSON の引用符に注意。file://config.json 形式で渡すと確実</t>
  </si>
  <si>
    <t>CloudFormation</t>
  </si>
  <si>
    <t>MyService:
  Type: AWS::ECS::Service
  Properties:
    DeploymentConfiguration:
      MaximumPercent: 200
      MinimumHealthyPercent: 100
      DeploymentCircuitBreaker:
        Enable: true
        Rollback: false</t>
  </si>
  <si>
    <t>・スタック更新が失敗すると、CloudFormation 自身のスタックロールバックが別途起こる点に注意</t>
  </si>
  <si>
    <t>Terraform</t>
  </si>
  <si>
    <t>resource "aws_ecs_service" "this" {
  # ...
  deployment_circuit_breaker {
    enable   = true
    rollback = false
  }
}</t>
  </si>
  <si>
    <t>・wait_for_steady_state 等の設定と合わせて挙動を確認</t>
  </si>
  <si>
    <t>AWS CDK
（TypeScript）</t>
  </si>
  <si>
    <t>new ecs.FargateService(this, 'Service', {
  cluster,
  taskDefinition,
  circuitBreaker: { enable: true, rollback: false },
});</t>
  </si>
  <si>
    <t>・CDK の circuitBreaker は enable の既定が true、rollback の既定が false</t>
  </si>
  <si>
    <t>■ 2. 判定の厳しさを調整する（しきい値・数え方：2026年7月〜／ヘルスチェック）</t>
  </si>
  <si>
    <t>しきい値
（CLI）</t>
  </si>
  <si>
    <t>aws ecs update-service --cluster &lt;cluster&gt; --service &lt;service&gt; --deployment-configuration '{"maximumPercent":200,"minimumHealthyPercent":100,"deploymentCircuitBreaker":{"enable":true,"rollback":true,"resetOnHealthyTask":true,"thresholdConfiguration":{"type":"COUNT","value":10}}}'</t>
  </si>
  <si>
    <t>・type：BOUNDED_PERCENT（既定、value=50）／UNBOUNDED_PERCENT／COUNT
・コンソール、CloudFormation、CDK、Terraform でも設定可能（プロパティ名は各リファレンスで確認）</t>
  </si>
  <si>
    <t>コンテナ
ヘルスチェック
（タスク定義）</t>
  </si>
  <si>
    <t>"healthCheck": {
  "command": ["CMD-SHELL", "curl -f http://localhost:8080/health || exit 1"],
  "interval": 30,
  "timeout": 5,
  "retries": 3,
  "startPeriod": 120
}</t>
  </si>
  <si>
    <t>・startPeriod：0〜300秒。起動中の失敗を数えない猶予
・interval 5〜300（既定30）、timeout 2〜60（既定5）、retries 1〜10（既定3）
・イメージに curl が入っているか要確認</t>
  </si>
  <si>
    <t>ヘルスチェック
猶予期間
（サービス）</t>
  </si>
  <si>
    <t>aws ecs update-service --cluster &lt;cluster&gt; --service &lt;service&gt; --health-check-grace-period-seconds 180</t>
  </si>
  <si>
    <t>・タスク起動後この秒数の間、ELB・VPC Lattice・コンテナヘルスチェックの不健全を無視</t>
  </si>
  <si>
    <t>■ 3. 新しいリビジョンを「最新」から正しく作る</t>
  </si>
  <si>
    <t>「タスク定義」→ ファミリー名 → リビジョン一覧で最新（または前回修正した）リビジョンを選択 →「新しいリビジョンの作成」</t>
  </si>
  <si>
    <t>・サービス詳細画面のリンク（ロールバック後は rev13）から辿らない</t>
  </si>
  <si>
    <t># リビジョンを省略すると「最新の ACTIVE リビジョン」を取得
aws ecs describe-task-definition --task-definition &lt;family&gt; --query taskDefinition &gt; latest.json
# 登録に不要な読み取り専用フィールドを削除（jq を使用）
jq 'del(.taskDefinitionArn,.revision,.status,.requiresAttributes,.compatibilities,.registeredAt,.registeredBy,.deregisteredAt)' latest.json &gt; td.json
# 編集後に登録
aws ecs register-task-definition --cli-input-json file://td.json</t>
  </si>
  <si>
    <t>・最善はタスク定義 JSON を Git で管理し、そこから登録すること（サービスの現在値をテンプレートにしない）</t>
  </si>
  <si>
    <t>差分確認</t>
  </si>
  <si>
    <t>aws ecs describe-task-definition --task-definition &lt;family&gt;:14 --query taskDefinition &gt; r14.json
aws ecs describe-task-definition --task-definition &lt;family&gt;:15 --query taskDefinition &gt; r15.json
diff r14.json r15.json</t>
  </si>
  <si>
    <t>・前回の修正が新リビジョンに入っているかを確認</t>
  </si>
  <si>
    <t>■ 4. サービスを変えずに単体で試す（run-task）</t>
  </si>
  <si>
    <t>aws ecs run-task --cluster &lt;cluster&gt; --task-definition &lt;family&gt;:16 --launch-type FARGATE --network-configuration "awsvpcConfiguration={subnets=[&lt;subnet-id&gt;],securityGroups=[&lt;sg-id&gt;],assignPublicIp=DISABLED}"
aws ecs describe-tasks --cluster &lt;cluster&gt; --tasks &lt;task-arn&gt; --query "tasks[0].{last:lastStatus,health:healthStatus,stop:stoppedReason,containers:containers[].{name:name,health:healthStatus,exit:exitCode,reason:reason}}"</t>
  </si>
  <si>
    <t>・サーキットブレーカーの対象外なので、何度失敗してもサービスは rev13 のまま
・確認後は stop-task で停止
・キャパシティプロバイダー利用時は --capacity-provider-strategy を指定</t>
  </si>
  <si>
    <t>■ 5. 状態・履歴を確認する／手動で戻す／通知する</t>
  </si>
  <si>
    <t>デプロイの状態</t>
  </si>
  <si>
    <t>aws ecs describe-services --cluster &lt;cluster&gt; --services &lt;service&gt; --query "services[0].deployments[].{status:status,taskDef:taskDefinition,rollout:rolloutState,reason:rolloutStateReason,failed:failedTasks}"</t>
  </si>
  <si>
    <t>・rolloutStateReason にロールバックの理由が入る
・failedTasks はサーキットブレーカーが数えた失敗数</t>
  </si>
  <si>
    <t>デプロイ履歴</t>
  </si>
  <si>
    <t>aws ecs list-service-deployments --cluster &lt;cluster&gt; --service &lt;service&gt;
aws ecs describe-service-deployments --service-deployment-arns &lt;arn&gt;</t>
  </si>
  <si>
    <t>・ROLLBACK_SUCCESSFUL などの状態、ロールバック先のサービスリビジョンを確認</t>
  </si>
  <si>
    <t>イベント</t>
  </si>
  <si>
    <t>aws ecs describe-services --cluster &lt;cluster&gt; --services &lt;service&gt; --query "services[0].events[0:10].[createdAt,message]" --output table</t>
  </si>
  <si>
    <t>・直近のイベントメッセージ（ロールバック開始など）</t>
  </si>
  <si>
    <t>手動ロールバック
（2025/05〜）</t>
  </si>
  <si>
    <t>aws ecs stop-service-deployment --service-deployment-arn &lt;arn&gt; --stop-type ROLLBACK</t>
  </si>
  <si>
    <t>・コンソール：サービス →「デプロイ」→ 進行中のデプロイで「ロールバック」
・ロールバック設定が OFF でも使える</t>
  </si>
  <si>
    <t>失敗の通知
（EventBridge）</t>
  </si>
  <si>
    <t>{
  "source": ["aws.ecs"],
  "detail-type": ["ECS Deployment State Change"],
  "detail": { "eventName": ["SERVICE_DEPLOYMENT_FAILED"] }
}</t>
  </si>
  <si>
    <t>・ルールのターゲットに SNS などを指定し、失敗を即座に通知</t>
  </si>
  <si>
    <t>推奨運用チェックリスト ― ループを断ち切る</t>
  </si>
  <si>
    <t>右端の「チェック」列（グレー枠のセル）に ✓ などを記入して使えます。印刷してもOK</t>
  </si>
  <si>
    <t>■ 凡例</t>
  </si>
  <si>
    <t>記入するセル：「チェック」列のみ（グレーの枠）。記入例：No.1 の行を参照（✓ を入力）。それ以外のセルは説明用です。</t>
  </si>
  <si>
    <t>■ チェックリスト</t>
  </si>
  <si>
    <t>チェック項目</t>
  </si>
  <si>
    <t>理由・効果</t>
  </si>
  <si>
    <t>チェック</t>
  </si>
  <si>
    <t>作成</t>
  </si>
  <si>
    <t>新しいリビジョンは「タスク定義」画面のファミリー一覧から、最新（または直前に修正した）リビジョンを選んで作成する</t>
  </si>
  <si>
    <t>サービス画面のリンクはロールバック後 rev13 を指すため</t>
  </si>
  <si>
    <t>✓</t>
  </si>
  <si>
    <t>作成前に「ベースにするリビジョン番号」を確認する（声に出す・メモする）</t>
  </si>
  <si>
    <t>ベースの取り違えが今回のループの正体</t>
  </si>
  <si>
    <t>登録後、前回リビジョンと JSON の差分を確認し、過去の修正がすべて入っているか見る</t>
  </si>
  <si>
    <t>修正Aの欠落を防ぐ</t>
  </si>
  <si>
    <t>タスク定義 JSON を Git で管理し、そこから登録する</t>
  </si>
  <si>
    <t>「サービスの現在値」に依存しない（最も確実）</t>
  </si>
  <si>
    <t>検証</t>
  </si>
  <si>
    <t>サービスを更新する前に run-task で単体起動し、healthStatus=HEALTHY を確認する</t>
  </si>
  <si>
    <t>本番サービスに触れずに失敗を発見できる</t>
  </si>
  <si>
    <t>サービス更新画面で、タスク定義のリビジョン番号を毎回目で確認する</t>
  </si>
  <si>
    <t>意図しないリビジョンでのデプロイを防ぐ</t>
  </si>
  <si>
    <t>監視</t>
  </si>
  <si>
    <t>EventBridge で SERVICE_DEPLOYMENT_FAILED を通知する</t>
  </si>
  <si>
    <t>ロールバックにすぐ気づける</t>
  </si>
  <si>
    <t>調査</t>
  </si>
  <si>
    <t>失敗時は「デプロイ」タブ・「イベント」・停止タスクの停止理由・終了コード・ログを確認する</t>
  </si>
  <si>
    <t>根本原因（ヘルスチェック失敗の理由）を特定する</t>
  </si>
  <si>
    <t>調整</t>
  </si>
  <si>
    <t>healthCheck.startPeriod とヘルスチェック猶予期間を、アプリの起動時間に合わせる</t>
  </si>
  <si>
    <t>起動途中の失敗判定による誤ロールバックを防ぐ</t>
  </si>
  <si>
    <t>必要に応じて thresholdConfiguration／resetOnHealthyTask を見直す（2026/07〜）</t>
  </si>
  <si>
    <t>判定の厳しさをアプリに合わせる</t>
  </si>
  <si>
    <t>環境</t>
  </si>
  <si>
    <t>開発・検証環境だけ「失敗時のロールバック」を OFF にする（調査後は戻す）</t>
  </si>
  <si>
    <t>失敗した状態をそのまま観察できる</t>
  </si>
  <si>
    <t>本番</t>
  </si>
  <si>
    <t>本番は「失敗時のロールバック」ON を維持し、手動ロールバック手順（コンソールの「ロールバック」／stop-service-deployment）も把握しておく</t>
  </si>
  <si>
    <t>安全装置を外さない</t>
  </si>
  <si>
    <t>13</t>
  </si>
  <si>
    <t>IaC</t>
  </si>
  <si>
    <t>IaC 管理のサービスは、設定変更をコンソールではなく IaC 側で行う</t>
  </si>
  <si>
    <t>次回の適用で設定が戻るのを防ぐ</t>
  </si>
  <si>
    <t>そもそもの失敗原因を調べる ― コンテナヘルスチェック失敗の典型例</t>
  </si>
  <si>
    <t>ロールバックは“結果”。ループを止める本当の解決は、rev14 以降が失敗する理由をつぶすこと</t>
  </si>
  <si>
    <t>■ 1. 調べる順番</t>
  </si>
  <si>
    <t>どこを見る</t>
  </si>
  <si>
    <t>何がわかる</t>
  </si>
  <si>
    <t>サービス →「デプロイ」タブ</t>
  </si>
  <si>
    <t>どのデプロイが失敗し、何に戻ったか（失敗タスク数、ロールバックの理由、ソース／ターゲットのサービスリビジョン）</t>
  </si>
  <si>
    <t>サービス →「イベント」タブ</t>
  </si>
  <si>
    <t>タスクの起動・停止、デプロイ失敗、ロールバック開始などの時系列</t>
  </si>
  <si>
    <t>タスク →「停止済み」で絞り込み → 停止理由</t>
  </si>
  <si>
    <t>停止理由（例：Task failed container health checks／Essential container in task exited／CannotPullContainerError）と終了コード</t>
  </si>
  <si>
    <t>CloudWatch Logs（awslogs）</t>
  </si>
  <si>
    <t>アプリの起動ログ・エラー（環境変数不足、DB 接続失敗、ポート競合など）</t>
  </si>
  <si>
    <t>Action Logs（2026/07〜）・Amazon Q</t>
  </si>
  <si>
    <t>デプロイ中に ECS が何をしたかの記録と、原因分析・対処の提案</t>
  </si>
  <si>
    <t>run-task ＋ ECS Exec</t>
  </si>
  <si>
    <t>コンテナ内でヘルスチェックのコマンドを手で実行して確かめる</t>
  </si>
  <si>
    <t>■ 2. よくある原因と対処</t>
  </si>
  <si>
    <t>症状・メッセージ</t>
  </si>
  <si>
    <t>よくある原因</t>
  </si>
  <si>
    <t>確認方法</t>
  </si>
  <si>
    <t>対処</t>
  </si>
  <si>
    <t>コンテナが UNHEALTHY（すぐ失敗）</t>
  </si>
  <si>
    <t>ヘルスチェックで使う curl／wget がイメージに入っていない（slim・alpine・distroless など）</t>
  </si>
  <si>
    <t>ECS Exec や run-task で which curl。ログに「curl: not found」</t>
  </si>
  <si>
    <t>イメージに curl を追加、またはアプリ内蔵のヘルスチェック用コマンドを使う</t>
  </si>
  <si>
    <t>起動直後だけ UNHEALTHY</t>
  </si>
  <si>
    <t>startPeriod が短く、アプリの起動完了前に失敗を数えている（Java／Rails／大きなモデルの読み込みなど）</t>
  </si>
  <si>
    <t>ログの起動完了時刻と、タスク開始時刻の差</t>
  </si>
  <si>
    <t>startPeriod（最大300秒）を延ばす。ヘルスチェック猶予期間も設定</t>
  </si>
  <si>
    <t>ずっと UNHEALTHY</t>
  </si>
  <si>
    <t>ポート・パスの間違い（8080 と 80、/health のつづり）、待ち受けアドレスの誤り</t>
  </si>
  <si>
    <t>コンテナ内でヘルスチェックコマンドを手動実行</t>
  </si>
  <si>
    <t>ヘルスチェックのコマンドとアプリの設定を一致させる</t>
  </si>
  <si>
    <t>CMD-SHELL の書式ミス</t>
  </si>
  <si>
    <t>["CMD-SHELL", "curl -f http://localhost:8080/health || exit 1"] の形になっていない</t>
  </si>
  <si>
    <t>タスク定義 JSON の healthCheck を確認</t>
  </si>
  <si>
    <t>正しい書式に修正</t>
  </si>
  <si>
    <t>終了コード 137／OutOfMemory</t>
  </si>
  <si>
    <t>メモリ不足で強制終了（OOM Kill）</t>
  </si>
  <si>
    <t>停止理由、メモリ使用率のメトリクス</t>
  </si>
  <si>
    <t>メモリを増やす、JVM ヒープ等の設定を見直す</t>
  </si>
  <si>
    <t>終了コード 1 などで即終了</t>
  </si>
  <si>
    <t>環境変数・シークレットの不足、設定ファイルの誤り</t>
  </si>
  <si>
    <t>CloudWatch Logs</t>
  </si>
  <si>
    <t>定義を修正。前回の修正の欠落（rev13 ベース問題）も疑う</t>
  </si>
  <si>
    <t>CannotPullContainerError</t>
  </si>
  <si>
    <t>イメージ名・タグの誤り、ECR の権限不足、NAT／VPC エンドポイントが無い</t>
  </si>
  <si>
    <t>停止理由</t>
  </si>
  <si>
    <t>イメージ URI、タスク実行ロール、ネットワーク経路を確認</t>
  </si>
  <si>
    <t>ResourceInitializationError</t>
  </si>
  <si>
    <t>Secrets Manager／SSM パラメータの取得失敗（権限・ネットワーク）</t>
  </si>
  <si>
    <t>タスク実行ロールの権限、VPC エンドポイントを確認</t>
  </si>
  <si>
    <t>exec format error</t>
  </si>
  <si>
    <t>CPU アーキテクチャの不一致（ARM64 用イメージを X86_64 で実行など）</t>
  </si>
  <si>
    <t>runtimePlatform とイメージのビルド対象を合わせる</t>
  </si>
  <si>
    <t>ターゲットが unhealthy（ELB）</t>
  </si>
  <si>
    <t>ターゲットグループのヘルスチェックのパス・ポート・成功コード、セキュリティグループ</t>
  </si>
  <si>
    <t>ターゲットグループ画面のヘルスの理由</t>
  </si>
  <si>
    <t>ALB 側の設定・SG を修正。ヘルスチェック猶予期間を設定</t>
  </si>
  <si>
    <t>登場の歴史と背景 ― なぜ「自動で戻す」仕組みが必要になったのか</t>
  </si>
  <si>
    <t>ECS 誕生から2026年9月まで。デプロイの安全性をめぐる進化の歴史</t>
  </si>
  <si>
    <t>■ 年表</t>
  </si>
  <si>
    <t>年月</t>
  </si>
  <si>
    <t>出来事</t>
  </si>
  <si>
    <t>背景・なぜ必要になったか</t>
  </si>
  <si>
    <t>今回の現象との関係</t>
  </si>
  <si>
    <t>2014/11
（2015/04 GA）</t>
  </si>
  <si>
    <t>Amazon ECS 発表（re:Invent、プレビュー）。2015年4月に一般提供</t>
  </si>
  <si>
    <t>Docker コンテナを大規模に動かす管理サービスが必要に。タスク定義は最初から「リビジョン付き・変更不可」</t>
  </si>
  <si>
    <t>rev14・15 が消えない・書き換わらない理由（イミュータブル設計）</t>
  </si>
  <si>
    <t>2015〜</t>
  </si>
  <si>
    <t>サービススケジューラとローリングアップデート（minimumHealthyPercent／maximumPercent）</t>
  </si>
  <si>
    <t>サービスを止めずに新旧タスクを入れ替えたい</t>
  </si>
  <si>
    <t>ただし当初は「失敗したら止める・戻す」機能は無かった</t>
  </si>
  <si>
    <t>2017/11</t>
  </si>
  <si>
    <t>AWS Fargate 登場</t>
  </si>
  <si>
    <t>サーバー管理を不要に → デプロイの回数が大きく増加</t>
  </si>
  <si>
    <t>デプロイ失敗への対策ニーズが高まる</t>
  </si>
  <si>
    <t>2018/03</t>
  </si>
  <si>
    <t>コンテナヘルスチェックに対応（タスク定義の healthCheck）</t>
  </si>
  <si>
    <t>ポートが開いているだけでなく「アプリが本当に元気か」を判定したい</t>
  </si>
  <si>
    <t>今回の失敗の“引き金”となる仕組み</t>
  </si>
  <si>
    <t>2018/11</t>
  </si>
  <si>
    <t>CodeDeploy による Blue/Green デプロイに対応</t>
  </si>
  <si>
    <t>切り替えと切り戻しを安全に行いたい</t>
  </si>
  <si>
    <t>ローリングとは別の仕組み（ロールバック設定も CodeDeploy 側）</t>
  </si>
  <si>
    <t>〜2020</t>
  </si>
  <si>
    <t>「終わらないデプロイ」問題</t>
  </si>
  <si>
    <t>壊れた新バージョンを出すと、タスクが起動 → 失敗 → 再起動を延々と繰り返す。CloudFormation は安定待ちで長時間止まる。利用者は Lambda などで自作のロールバックを作っていた</t>
  </si>
  <si>
    <t>自動で止めて戻す仕組みが求められた</t>
  </si>
  <si>
    <t>2020/11〜12</t>
  </si>
  <si>
    <t>デプロイサーキットブレーカー登場（11月プレビュー、12月一般提供）。rollback オプション付き</t>
  </si>
  <si>
    <t>「失敗を自動で検知して止める」「最後に成功した状態へ自動で戻す」を ECS の標準機能に</t>
  </si>
  <si>
    <t>今回の“直接原因”となる機能</t>
  </si>
  <si>
    <t>2022/12</t>
  </si>
  <si>
    <t>CloudWatch アラームによるロールバック</t>
  </si>
  <si>
    <t>ヘルスチェックは通るが、エラー率やレイテンシが悪化するケースも検知したい</t>
  </si>
  <si>
    <t>アラーム側にも「失敗時のロールバック」がある</t>
  </si>
  <si>
    <t>（時期非公表）</t>
  </si>
  <si>
    <t>新コンソールでのサービス作成時に「CB＋失敗時のロールバック」が既定 ON</t>
  </si>
  <si>
    <t>利用者が安全装置を付け忘れないよう、安全側の既定値に</t>
  </si>
  <si>
    <t>意識せずにロールバックが有効になっている理由</t>
  </si>
  <si>
    <t>2024/01</t>
  </si>
  <si>
    <t>しきい値の最小値を 10 → 3 に変更</t>
  </si>
  <si>
    <t>タスク数の少ないサービスでも、素早く失敗を検知して戻すため</t>
  </si>
  <si>
    <t>少ない失敗回数（3回）ですぐ戻される理由</t>
  </si>
  <si>
    <t>2024/07</t>
  </si>
  <si>
    <t>ソフトウェアバージョン一貫性（タグをダイジェストに固定）</t>
  </si>
  <si>
    <t>同じデプロイの中で別々のイメージが動く事故を防ぐ</t>
  </si>
  <si>
    <t>ロールバック時も rev13 当時のイメージで起動</t>
  </si>
  <si>
    <t>2024/11</t>
  </si>
  <si>
    <t>サービスリビジョンとデプロイ履歴（2024/10/25 以降が対象）</t>
  </si>
  <si>
    <t>「いつ・何を・何に戻したか」を見える化</t>
  </si>
  <si>
    <t>ロールバック先（サービスリビジョン）を確認できる</t>
  </si>
  <si>
    <t>2025/05</t>
  </si>
  <si>
    <t>ワンクリック・ロールバック（StopServiceDeployment：ROLLBACK）</t>
  </si>
  <si>
    <t>サーキットブレーカーやアラームで検知できない失敗も、手動ですぐ戻したい</t>
  </si>
  <si>
    <t>ロールバック OFF 運用時の“保険”になる</t>
  </si>
  <si>
    <t>2025/07</t>
  </si>
  <si>
    <t>ECS 組み込みの Blue/Green ＋ ライフサイクルフック</t>
  </si>
  <si>
    <t>CodeDeploy なしで安全な切り替えと即時の切り戻し</t>
  </si>
  <si>
    <t>ローリング以外の選択肢</t>
  </si>
  <si>
    <t>2025/10〜11</t>
  </si>
  <si>
    <t>組み込みのリニア／カナリアデプロイ（2026/02 に NLB 対応）</t>
  </si>
  <si>
    <t>少しずつトラフィックを移して影響を最小化</t>
  </si>
  <si>
    <t>2026/01</t>
  </si>
  <si>
    <t>コンテナのヘルス状態を CloudWatch メトリクスとして発行</t>
  </si>
  <si>
    <t>ヘルスチェックの状態を監視・アラームに使いたい</t>
  </si>
  <si>
    <t>失敗の傾向を把握しやすく</t>
  </si>
  <si>
    <t>2026/07</t>
  </si>
  <si>
    <t>サーキットブレーカー設定のカスタマイズ（しきい値の種類・値、連続／累積の数え方）</t>
  </si>
  <si>
    <t>「起動時に一時的に失敗するアプリが誤って戻される」「開発環境ではもっと早く戻したい」などの要望</t>
  </si>
  <si>
    <t>判定の厳しさを調整して誤ロールバックを減らせる</t>
  </si>
  <si>
    <t>Action Logs（デプロイ中の ECS の動作記録、Amazon Q による原因分析）</t>
  </si>
  <si>
    <t>ロールバックの理由を素早く突き止めたい</t>
  </si>
  <si>
    <t>原因調査が容易に</t>
  </si>
  <si>
    <t>2026/09</t>
  </si>
  <si>
    <t>Early Success Criteria と Deferred cleanup</t>
  </si>
  <si>
    <t>大規模・GPU などで、全台がそろうのを待たずに成功と判定したい</t>
  </si>
  <si>
    <t>成功判定のタイミングを調整可能に</t>
  </si>
  <si>
    <t>■ なぜ必要になったのか（流れでわかる背景）</t>
  </si>
  <si>
    <t>① 昔：デプロイは人が手で行い、失敗したら人が手で戻していました。夜中の失敗は朝まで気づかれないことも。障害の多くは「変更（デプロイ）」がきっかけで起こるため、「失敗したらすぐ戻す」ことが復旧時間（MTTR）を縮める一番の近道でした。</t>
  </si>
  <si>
    <t>② コンテナの時代：ECS や Fargate でデプロイが簡単・高頻度になり、「壊れたバージョンを出しても、自動で止まって自動で戻る」仕組みが不可欠になりました。それがデプロイサーキットブレーカー（2020年）です。家のブレーカーが電気の使いすぎで落ちて家を守るように、失敗が続いたらデプロイを止めて本番を守ります。</t>
  </si>
  <si>
    <t>③ 安全側の既定値：多くの利用者が安全装置を付け忘れないよう、新しいコンソールではサーキットブレーカーとロールバックが最初から ON になっています。これが「気づいたら毎回13に戻されている」という体験につながります。</t>
  </si>
  <si>
    <t>④ 見える化と微調整：戻ったことを確認できる履歴（2024年）、手動で戻せるボタン（2025年）、判定の厳しさを調整できる設定（2026年）と、「安全装置を外さずに、使いやすくする」方向に進化してきました。</t>
  </si>
  <si>
    <t>⑤ つまり：今回の現象は、ECS が本番を守るために長年かけて育ててきた仕組みが“正しく”動いた結果です。開発中の不便さは、設定（ロールバック OFF・しきい値調整）と運用（最新リビジョンから作る・run-task で試す）で解消できます。</t>
  </si>
  <si>
    <t>用語集</t>
  </si>
  <si>
    <t>本書で使う用語と、英語表記・API 名の対応</t>
  </si>
  <si>
    <t>■ 用語一覧</t>
  </si>
  <si>
    <t>用語</t>
  </si>
  <si>
    <t>英語・API 名</t>
  </si>
  <si>
    <t>意味</t>
  </si>
  <si>
    <t>Task Definition</t>
  </si>
  <si>
    <t>コンテナの設計図（イメージ、CPU／メモリ、ポート、環境変数、ヘルスチェックなど）。JSON で表現する</t>
  </si>
  <si>
    <t>リビジョン</t>
  </si>
  <si>
    <t>Revision</t>
  </si>
  <si>
    <t>タスク定義の版番号。登録のたびに+1。既存の版は変更できない（イミュータブル）。番号は再利用されない</t>
  </si>
  <si>
    <t>ファミリー</t>
  </si>
  <si>
    <t>Family</t>
  </si>
  <si>
    <t>タスク定義の名前。「family:13」のように使う</t>
  </si>
  <si>
    <t>ACTIVE／INACTIVE</t>
  </si>
  <si>
    <t>Task definition status</t>
  </si>
  <si>
    <t>使用可能／登録解除済み。INACTIVE でも既存のタスク・サービスは動き続ける</t>
  </si>
  <si>
    <t>Service</t>
  </si>
  <si>
    <t>指定したタスク定義で、指定した数のタスクを動かし続ける仕組み</t>
  </si>
  <si>
    <t>Deployment</t>
  </si>
  <si>
    <t>サービスの構成（タスク定義など）を新しいものに切り替える処理</t>
  </si>
  <si>
    <t>ローリングアップデート</t>
  </si>
  <si>
    <t>Rolling update（ECS デプロイコントローラー）</t>
  </si>
  <si>
    <t>旧タスクを少しずつ新タスクに入れ替える方式</t>
  </si>
  <si>
    <t>最小実行タスク％</t>
  </si>
  <si>
    <t>minimumHealthyPercent</t>
  </si>
  <si>
    <t>デプロイ中に最低限動かしておくタスクの割合</t>
  </si>
  <si>
    <t>最大実行タスク％</t>
  </si>
  <si>
    <t>maximumPercent</t>
  </si>
  <si>
    <t>デプロイ中に同時に動かせるタスクの上限の割合</t>
  </si>
  <si>
    <t>Deployment circuit breaker</t>
  </si>
  <si>
    <t>失敗が続いたデプロイを自動で FAILED にする安全装置</t>
  </si>
  <si>
    <t>rollback（Rollback on failures）</t>
  </si>
  <si>
    <t>FAILED になったとき、最後に成功したデプロイへ自動で戻すオプション</t>
  </si>
  <si>
    <t>thresholdConfiguration</t>
  </si>
  <si>
    <t>何回失敗したら FAILED にするか。既定は必要タスク数×50%（最小3・最大200）</t>
  </si>
  <si>
    <t>連続／累積カウント</t>
  </si>
  <si>
    <t>resetOnHealthyTask</t>
  </si>
  <si>
    <t>true＝健全なタスクが出たらリセット（既定）、false＝累積</t>
  </si>
  <si>
    <t>rolloutState</t>
  </si>
  <si>
    <t>デプロイ単位の状態（IN_PROGRESS／COMPLETED／FAILED）</t>
  </si>
  <si>
    <t>サービスデプロイ</t>
  </si>
  <si>
    <t>Service deployment</t>
  </si>
  <si>
    <t>デプロイ1回分の記録（状態、失敗数、ロールバック情報など）</t>
  </si>
  <si>
    <t>Service revision</t>
  </si>
  <si>
    <t>デプロイしようとした構成のスナップショット（変更不可）。ロールバック先として使われる</t>
  </si>
  <si>
    <t>healthCheck（コンテナ定義）</t>
  </si>
  <si>
    <t>コンテナの中でコマンドを実行して、健康状態を判定する</t>
  </si>
  <si>
    <t>startPeriod</t>
  </si>
  <si>
    <t>起動直後の失敗を数えない猶予（0〜300秒）</t>
  </si>
  <si>
    <t>ヘルスチェック猶予期間</t>
  </si>
  <si>
    <t>healthCheckGracePeriodSeconds</t>
  </si>
  <si>
    <t>サービス側で、タスク起動後しばらく不健全の判定を無視する秒数</t>
  </si>
  <si>
    <t>イメージダイジェスト</t>
  </si>
  <si>
    <t>Image digest（sha256）</t>
  </si>
  <si>
    <t>イメージの中身から計算される固有の指紋。タグと違って付け替えできない</t>
  </si>
  <si>
    <t>ソフトウェアバージョン一貫性</t>
  </si>
  <si>
    <t>Software version consistency</t>
  </si>
  <si>
    <t>デプロイ開始時にタグ → ダイジェストを確定し、全タスクを同じイメージで動かす仕組み</t>
  </si>
  <si>
    <t>run-task</t>
  </si>
  <si>
    <t>RunTask</t>
  </si>
  <si>
    <t>サービスを介さずに、タスクを単体で起動する API</t>
  </si>
  <si>
    <t>stop-service-deployment</t>
  </si>
  <si>
    <t>StopServiceDeployment</t>
  </si>
  <si>
    <t>進行中のデプロイを止めてロールバックする API（2025/05〜）</t>
  </si>
  <si>
    <t>EventBridge</t>
  </si>
  <si>
    <t>Amazon EventBridge</t>
  </si>
  <si>
    <t>ECS のイベント（SERVICE_DEPLOYMENT_FAILED など）を受けて、通知や自動化を行う仕組み</t>
  </si>
  <si>
    <t>Action Logs</t>
  </si>
  <si>
    <t>デプロイ中に ECS が実行した動作の、タイムスタンプ付きの記録（2026/07〜）</t>
  </si>
  <si>
    <t>参考情報（根拠とした AWS 公式情報）</t>
  </si>
  <si>
    <t>2026年10月3日に確認。URL をクリックするとブラウザで開きます</t>
  </si>
  <si>
    <t>■ AWS 公式ドキュメント</t>
  </si>
  <si>
    <t>タイトル</t>
  </si>
  <si>
    <t>URL</t>
  </si>
  <si>
    <t>何がわかるか</t>
  </si>
  <si>
    <t>How the Amazon ECS deployment circuit breaker detects failures</t>
  </si>
  <si>
    <t>https://docs.aws.amazon.com/AmazonECS/latest/developerguide/deployment-circuit-breaker.html</t>
  </si>
  <si>
    <t>判定の2段階、COMPLETED へのロールバック、しきい値の計算、FAILED では新タスクを起動しない</t>
  </si>
  <si>
    <t>Amazon ECS service revisions</t>
  </si>
  <si>
    <t>https://docs.aws.amazon.com/AmazonECS/latest/developerguide/service-revision.html</t>
  </si>
  <si>
    <t>ロールバックでは新しいサービスリビジョンを作らない／サービスリビジョンは不変</t>
  </si>
  <si>
    <t>View service history using Amazon ECS service deployments</t>
  </si>
  <si>
    <t>https://docs.aws.amazon.com/AmazonECS/latest/developerguide/service-deployment.html</t>
  </si>
  <si>
    <t>サービスデプロイの状態（ROLLBACK_IN_PROGRESS、STOP_REQUESTED など）</t>
  </si>
  <si>
    <t>Stopping Amazon ECS service deployments</t>
  </si>
  <si>
    <t>https://docs.aws.amazon.com/AmazonECS/latest/developerguide/stop-service-deployment.html</t>
  </si>
  <si>
    <t>手動ロールバックの手順</t>
  </si>
  <si>
    <t>Creating an Amazon ECS rolling update deployment</t>
  </si>
  <si>
    <t>https://docs.aws.amazon.com/AmazonECS/latest/developerguide/create-service-console-v2.html</t>
  </si>
  <si>
    <t>コンソールの既定値（CB＋失敗時のロールバック）</t>
  </si>
  <si>
    <t>Updating an Amazon ECS service</t>
  </si>
  <si>
    <t>https://docs.aws.amazon.com/AmazonECS/latest/developerguide/update-service-console-v2.html</t>
  </si>
  <si>
    <t>「サービスを更新」の手順、デプロイの失敗検出の設定</t>
  </si>
  <si>
    <t>Amazon ECS service throttle logic</t>
  </si>
  <si>
    <t>https://docs.aws.amazon.com/AmazonECS/latest/developerguide/service-throttle-logic.html</t>
  </si>
  <si>
    <t>再試行の間隔が最大27分まで伸びる仕組み</t>
  </si>
  <si>
    <t>■ What's New・ブログ（年代順）</t>
  </si>
  <si>
    <t>2018/03 Amazon ECS Supports Container Health Checks</t>
  </si>
  <si>
    <t>https://aws.amazon.com/about-aws/whats-new/2018/03/amazon-ecs-supports-container-health-checks-and-task-health-mana</t>
  </si>
  <si>
    <t>コンテナヘルスチェック対応</t>
  </si>
  <si>
    <t>2020/12 ECS Deployment Circuit Breaker GA</t>
  </si>
  <si>
    <t>https://aws.amazon.com/about-aws/whats-new/2020/12/amazon-ecs-announces-the-general-availability-of-ecs-deployment-circuit-breaker/</t>
  </si>
  <si>
    <t>サーキットブレーカーの一般提供</t>
  </si>
  <si>
    <t>Blog: Announcing Amazon ECS deployment circuit breaker</t>
  </si>
  <si>
    <t>https://aws.amazon.com/blogs/containers/announcing-amazon-ecs-deployment-circuit-breaker/</t>
  </si>
  <si>
    <t>サーキットブレーカー登場の背景と例</t>
  </si>
  <si>
    <t>2022/12 Blog: Automate rollbacks with CloudWatch alarms</t>
  </si>
  <si>
    <t>https://aws.amazon.com/blogs/containers/automate-rollbacks-for-amazon-ecs-rolling-deployments-with-cloudwatch-alarms</t>
  </si>
  <si>
    <t>アラームによるロールバック</t>
  </si>
  <si>
    <t>2024/01 Deployment monitoring responsiveness</t>
  </si>
  <si>
    <t>https://aws.amazon.com/about-aws/whats-new/2024/01/amazon-ecs-deployment-monitoring-responsiveness-services</t>
  </si>
  <si>
    <t>しきい値の最小値 10 → 3</t>
  </si>
  <si>
    <t>2024/07 Software version consistency</t>
  </si>
  <si>
    <t>https://aws.amazon.com/about-aws/whats-new/2024/07/amazon-ecs-software-version-consistency-containerized-applications</t>
  </si>
  <si>
    <t>タグ → ダイジェストの固定</t>
  </si>
  <si>
    <t>2024/11 Service versioning and deployment history</t>
  </si>
  <si>
    <t>https://aws.amazon.com/about-aws/whats-new/2024/11/service-versioning-deployment-history-amazon-ecs-services</t>
  </si>
  <si>
    <t>サービスリビジョン・デプロイ履歴</t>
  </si>
  <si>
    <t>2025/05 1-click rollbacks for service deployments</t>
  </si>
  <si>
    <t>https://aws.amazon.com/about-aws/whats-new/2025/05/amazon-ecs-1-click-rollbacks-service-deployments</t>
  </si>
  <si>
    <t>ワンクリック・ロールバック</t>
  </si>
  <si>
    <t>2025/07 Built-in blue/green deployments</t>
  </si>
  <si>
    <t>https://aws.amazon.com/about-aws/whats-new/2025/07/amazon-ecs-built-in-blue-green-deployments/</t>
  </si>
  <si>
    <t>組み込み Blue/Green</t>
  </si>
  <si>
    <t>2026/07 Configurable deployment circuit breaker settings</t>
  </si>
  <si>
    <t>https://aws.amazon.com/about-aws/whats-new/2026/07/amazon-ecs-circuit-breaker-settings/</t>
  </si>
  <si>
    <t>しきい値・数え方の設定</t>
  </si>
  <si>
    <t>2026/07 Action Logs</t>
  </si>
  <si>
    <t>https://aws.amazon.com/about-aws/whats-new/2026/07/amazon-ecs-action-logs/</t>
  </si>
  <si>
    <t>デプロイ中の動作記録・原因分析</t>
  </si>
  <si>
    <t>2026/09 Early Success Criteria</t>
  </si>
  <si>
    <t>https://aws.amazon.com/about-aws/whats-new/2026/09/amazon-ecs-deployments-early-success/</t>
  </si>
  <si>
    <t>早期成功判定・Deferred cleanup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</si>
</sst>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Meiryo UI"/>
    </font>
    <font>
      <b/>
      <sz val="16"/>
      <color rgb="FFFFFFFF"/>
      <name val="Meiryo UI"/>
      <family val="3"/>
      <charset val="128"/>
    </font>
    <font>
      <sz val="10"/>
      <color rgb="FF595959"/>
      <name val="Meiryo UI"/>
      <family val="3"/>
      <charset val="128"/>
    </font>
    <font>
      <b/>
      <sz val="12"/>
      <color rgb="FFFFFFFF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u/>
      <sz val="10"/>
      <color rgb="FF262626"/>
      <name val="Meiryo UI"/>
      <family val="3"/>
      <charset val="128"/>
    </font>
    <font>
      <sz val="9.5"/>
      <color rgb="FF595959"/>
      <name val="Meiryo UI"/>
      <family val="3"/>
      <charset val="128"/>
    </font>
    <font>
      <b/>
      <sz val="11"/>
      <color rgb="FF595959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sz val="9.5"/>
      <color rgb="FF000000"/>
      <name val="Meiryo UI"/>
      <family val="3"/>
      <charset val="128"/>
    </font>
    <font>
      <b/>
      <sz val="14"/>
      <color rgb="FFFFFFFF"/>
      <name val="Meiryo UI"/>
      <family val="3"/>
      <charset val="128"/>
    </font>
    <font>
      <b/>
      <sz val="14"/>
      <color rgb="FF000000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sz val="6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F5F5F5"/>
        <bgColor rgb="FFF5F5F5"/>
      </patternFill>
    </fill>
    <fill>
      <patternFill patternType="solid">
        <fgColor rgb="FF404040"/>
        <bgColor rgb="FF404040"/>
      </patternFill>
    </fill>
    <fill>
      <patternFill patternType="solid">
        <fgColor rgb="FFEDEDED"/>
        <bgColor rgb="FFEDEDED"/>
      </patternFill>
    </fill>
    <fill>
      <patternFill patternType="solid">
        <fgColor rgb="FF595959"/>
        <bgColor rgb="FF59595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</fills>
  <borders count="5">
    <border>
      <left/>
      <right/>
      <top/>
      <bottom/>
      <diagonal/>
    </border>
    <border>
      <left style="thick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4" fillId="3" borderId="3" xfId="0" applyFont="1" applyFill="1" applyBorder="1" applyAlignment="1">
      <alignment horizontal="left" vertical="top" wrapText="1" indent="1"/>
    </xf>
    <xf numFmtId="0" fontId="6" fillId="3" borderId="3" xfId="0" applyFont="1" applyFill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3" borderId="3" xfId="0" applyFont="1" applyFill="1" applyBorder="1" applyAlignment="1">
      <alignment horizontal="left" vertical="top" wrapText="1" indent="1"/>
    </xf>
    <xf numFmtId="0" fontId="6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 indent="1"/>
    </xf>
    <xf numFmtId="0" fontId="4" fillId="7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vertical="top" wrapText="1" indent="1"/>
    </xf>
    <xf numFmtId="0" fontId="4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left" vertical="top" wrapText="1" indent="1"/>
    </xf>
    <xf numFmtId="0" fontId="4" fillId="5" borderId="3" xfId="0" applyFont="1" applyFill="1" applyBorder="1" applyAlignment="1">
      <alignment vertical="center" wrapText="1" indent="1"/>
    </xf>
    <xf numFmtId="0" fontId="12" fillId="4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 wrapText="1" indent="1"/>
    </xf>
    <xf numFmtId="0" fontId="11" fillId="0" borderId="3" xfId="0" applyFont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top" wrapText="1" indent="1"/>
    </xf>
    <xf numFmtId="0" fontId="14" fillId="0" borderId="3" xfId="0" applyFont="1" applyBorder="1" applyAlignment="1">
      <alignment horizontal="left" vertical="top" wrapText="1" indent="1"/>
    </xf>
    <xf numFmtId="0" fontId="14" fillId="3" borderId="3" xfId="0" applyFont="1" applyFill="1" applyBorder="1" applyAlignment="1">
      <alignment horizontal="left" vertical="top" wrapText="1" indent="1"/>
    </xf>
    <xf numFmtId="0" fontId="6" fillId="3" borderId="3" xfId="0" applyFont="1" applyFill="1" applyBorder="1" applyAlignment="1">
      <alignment horizontal="left" vertical="top" wrapText="1" indent="1"/>
    </xf>
    <xf numFmtId="0" fontId="0" fillId="3" borderId="3" xfId="0" applyFill="1" applyBorder="1"/>
    <xf numFmtId="0" fontId="6" fillId="0" borderId="3" xfId="0" applyFont="1" applyBorder="1" applyAlignment="1">
      <alignment horizontal="left" vertical="top" wrapText="1" indent="1"/>
    </xf>
    <xf numFmtId="0" fontId="0" fillId="0" borderId="3" xfId="0" applyBorder="1"/>
    <xf numFmtId="0" fontId="4" fillId="5" borderId="1" xfId="0" applyFont="1" applyFill="1" applyBorder="1" applyAlignment="1">
      <alignment vertical="top" wrapText="1" indent="1"/>
    </xf>
    <xf numFmtId="0" fontId="0" fillId="5" borderId="1" xfId="0" applyFill="1" applyBorder="1"/>
    <xf numFmtId="0" fontId="3" fillId="4" borderId="0" xfId="0" applyFont="1" applyFill="1" applyAlignment="1">
      <alignment vertical="center" indent="1"/>
    </xf>
    <xf numFmtId="0" fontId="0" fillId="4" borderId="0" xfId="0" applyFill="1"/>
    <xf numFmtId="0" fontId="2" fillId="3" borderId="0" xfId="0" applyFont="1" applyFill="1" applyAlignment="1">
      <alignment vertical="center" wrapText="1" indent="1"/>
    </xf>
    <xf numFmtId="0" fontId="0" fillId="3" borderId="0" xfId="0" applyFill="1"/>
    <xf numFmtId="0" fontId="5" fillId="2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6" fillId="0" borderId="0" xfId="0" applyFont="1" applyAlignment="1">
      <alignment vertical="top" wrapText="1" indent="1"/>
    </xf>
    <xf numFmtId="0" fontId="0" fillId="0" borderId="0" xfId="0"/>
    <xf numFmtId="0" fontId="4" fillId="5" borderId="3" xfId="0" applyFont="1" applyFill="1" applyBorder="1" applyAlignment="1">
      <alignment horizontal="left" vertical="top" wrapText="1" indent="1"/>
    </xf>
    <xf numFmtId="0" fontId="0" fillId="5" borderId="3" xfId="0" applyFill="1" applyBorder="1"/>
    <xf numFmtId="0" fontId="4" fillId="5" borderId="4" xfId="0" applyFont="1" applyFill="1" applyBorder="1" applyAlignment="1">
      <alignment horizontal="center" vertical="center" wrapText="1"/>
    </xf>
    <xf numFmtId="0" fontId="0" fillId="5" borderId="4" xfId="0" applyFill="1" applyBorder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 indent="1"/>
    </xf>
    <xf numFmtId="0" fontId="8" fillId="0" borderId="0" xfId="0" applyFont="1" applyAlignment="1">
      <alignment vertical="top" wrapText="1" indent="1"/>
    </xf>
    <xf numFmtId="0" fontId="6" fillId="7" borderId="3" xfId="0" applyFont="1" applyFill="1" applyBorder="1" applyAlignment="1">
      <alignment horizontal="left" vertical="top" wrapText="1" indent="1"/>
    </xf>
    <xf numFmtId="0" fontId="0" fillId="7" borderId="3" xfId="0" applyFill="1" applyBorder="1"/>
    <xf numFmtId="0" fontId="11" fillId="3" borderId="3" xfId="0" applyFont="1" applyFill="1" applyBorder="1" applyAlignment="1">
      <alignment vertical="top" wrapText="1" indent="1"/>
    </xf>
    <xf numFmtId="0" fontId="4" fillId="0" borderId="3" xfId="0" applyFont="1" applyBorder="1" applyAlignment="1">
      <alignment horizontal="left" vertical="top" wrapText="1" indent="1"/>
    </xf>
    <xf numFmtId="0" fontId="4" fillId="3" borderId="3" xfId="0" applyFont="1" applyFill="1" applyBorder="1" applyAlignment="1">
      <alignment horizontal="left" vertical="top" wrapText="1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aws.amazon.com/about-aws/whats-new/2018/03/amazon-ecs-supports-container-health-checks-and-task-health-mana" TargetMode="External"/><Relationship Id="rId13" Type="http://schemas.openxmlformats.org/officeDocument/2006/relationships/hyperlink" Target="https://aws.amazon.com/about-aws/whats-new/2024/07/amazon-ecs-software-version-consistency-containerized-applications" TargetMode="External"/><Relationship Id="rId18" Type="http://schemas.openxmlformats.org/officeDocument/2006/relationships/hyperlink" Target="https://aws.amazon.com/about-aws/whats-new/2026/07/amazon-ecs-action-logs/" TargetMode="External"/><Relationship Id="rId3" Type="http://schemas.openxmlformats.org/officeDocument/2006/relationships/hyperlink" Target="https://docs.aws.amazon.com/AmazonECS/latest/developerguide/service-deployment.html" TargetMode="External"/><Relationship Id="rId7" Type="http://schemas.openxmlformats.org/officeDocument/2006/relationships/hyperlink" Target="https://docs.aws.amazon.com/AmazonECS/latest/developerguide/service-throttle-logic.html" TargetMode="External"/><Relationship Id="rId12" Type="http://schemas.openxmlformats.org/officeDocument/2006/relationships/hyperlink" Target="https://aws.amazon.com/about-aws/whats-new/2024/01/amazon-ecs-deployment-monitoring-responsiveness-services" TargetMode="External"/><Relationship Id="rId17" Type="http://schemas.openxmlformats.org/officeDocument/2006/relationships/hyperlink" Target="https://aws.amazon.com/about-aws/whats-new/2026/07/amazon-ecs-circuit-breaker-settings/" TargetMode="External"/><Relationship Id="rId2" Type="http://schemas.openxmlformats.org/officeDocument/2006/relationships/hyperlink" Target="https://docs.aws.amazon.com/AmazonECS/latest/developerguide/service-revision.html" TargetMode="External"/><Relationship Id="rId16" Type="http://schemas.openxmlformats.org/officeDocument/2006/relationships/hyperlink" Target="https://aws.amazon.com/about-aws/whats-new/2025/07/amazon-ecs-built-in-blue-green-deployments/" TargetMode="External"/><Relationship Id="rId1" Type="http://schemas.openxmlformats.org/officeDocument/2006/relationships/hyperlink" Target="https://docs.aws.amazon.com/AmazonECS/latest/developerguide/deployment-circuit-breaker.html" TargetMode="External"/><Relationship Id="rId6" Type="http://schemas.openxmlformats.org/officeDocument/2006/relationships/hyperlink" Target="https://docs.aws.amazon.com/AmazonECS/latest/developerguide/update-service-console-v2.html" TargetMode="External"/><Relationship Id="rId11" Type="http://schemas.openxmlformats.org/officeDocument/2006/relationships/hyperlink" Target="https://aws.amazon.com/blogs/containers/automate-rollbacks-for-amazon-ecs-rolling-deployments-with-cloudwatch-alarms" TargetMode="External"/><Relationship Id="rId5" Type="http://schemas.openxmlformats.org/officeDocument/2006/relationships/hyperlink" Target="https://docs.aws.amazon.com/AmazonECS/latest/developerguide/create-service-console-v2.html" TargetMode="External"/><Relationship Id="rId15" Type="http://schemas.openxmlformats.org/officeDocument/2006/relationships/hyperlink" Target="https://aws.amazon.com/about-aws/whats-new/2025/05/amazon-ecs-1-click-rollbacks-service-deployments" TargetMode="External"/><Relationship Id="rId10" Type="http://schemas.openxmlformats.org/officeDocument/2006/relationships/hyperlink" Target="https://aws.amazon.com/blogs/containers/announcing-amazon-ecs-deployment-circuit-breaker/" TargetMode="External"/><Relationship Id="rId19" Type="http://schemas.openxmlformats.org/officeDocument/2006/relationships/hyperlink" Target="https://aws.amazon.com/about-aws/whats-new/2026/09/amazon-ecs-deployments-early-success/" TargetMode="External"/><Relationship Id="rId4" Type="http://schemas.openxmlformats.org/officeDocument/2006/relationships/hyperlink" Target="https://docs.aws.amazon.com/AmazonECS/latest/developerguide/stop-service-deployment.html" TargetMode="External"/><Relationship Id="rId9" Type="http://schemas.openxmlformats.org/officeDocument/2006/relationships/hyperlink" Target="https://aws.amazon.com/about-aws/whats-new/2020/12/amazon-ecs-announces-the-general-availability-of-ecs-deployment-circuit-breaker/" TargetMode="External"/><Relationship Id="rId14" Type="http://schemas.openxmlformats.org/officeDocument/2006/relationships/hyperlink" Target="https://aws.amazon.com/about-aws/whats-new/2024/11/service-versioning-deployment-history-amazon-ecs-serv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2626"/>
    <pageSetUpPr fitToPage="1"/>
  </sheetPr>
  <dimension ref="B1:E35"/>
  <sheetViews>
    <sheetView showGridLines="0"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" customWidth="1"/>
    <col min="2" max="2" width="30" customWidth="1"/>
    <col min="3" max="3" width="40" customWidth="1"/>
    <col min="4" max="4" width="48" customWidth="1"/>
    <col min="5" max="5" width="34" customWidth="1"/>
    <col min="6" max="6" width="13" customWidth="1"/>
  </cols>
  <sheetData>
    <row r="1" spans="2:5" ht="37.950000000000003" customHeight="1" x14ac:dyDescent="0.3">
      <c r="B1" s="43" t="s">
        <v>0</v>
      </c>
      <c r="C1" s="44"/>
      <c r="D1" s="44"/>
      <c r="E1" s="44"/>
    </row>
    <row r="2" spans="2:5" ht="19.95" customHeight="1" x14ac:dyDescent="0.3">
      <c r="B2" s="39" t="s">
        <v>1</v>
      </c>
      <c r="C2" s="40"/>
      <c r="D2" s="40"/>
      <c r="E2" s="40"/>
    </row>
    <row r="3" spans="2:5" ht="7.95" customHeight="1" x14ac:dyDescent="0.3"/>
    <row r="4" spans="2:5" ht="25.95" customHeight="1" x14ac:dyDescent="0.3">
      <c r="B4" s="37" t="s">
        <v>2</v>
      </c>
      <c r="C4" s="38"/>
      <c r="D4" s="38"/>
      <c r="E4" s="38"/>
    </row>
    <row r="5" spans="2:5" ht="6" customHeight="1" x14ac:dyDescent="0.3"/>
    <row r="6" spans="2:5" ht="48" customHeight="1" x14ac:dyDescent="0.3">
      <c r="B6" s="35" t="s">
        <v>3</v>
      </c>
      <c r="C6" s="36"/>
      <c r="D6" s="36"/>
      <c r="E6" s="36"/>
    </row>
    <row r="7" spans="2:5" ht="6" customHeight="1" x14ac:dyDescent="0.3"/>
    <row r="8" spans="2:5" ht="48" customHeight="1" x14ac:dyDescent="0.3">
      <c r="B8" s="35" t="s">
        <v>4</v>
      </c>
      <c r="C8" s="36"/>
      <c r="D8" s="36"/>
      <c r="E8" s="36"/>
    </row>
    <row r="9" spans="2:5" ht="6" customHeight="1" x14ac:dyDescent="0.3"/>
    <row r="10" spans="2:5" ht="48" customHeight="1" x14ac:dyDescent="0.3">
      <c r="B10" s="35" t="s">
        <v>5</v>
      </c>
      <c r="C10" s="36"/>
      <c r="D10" s="36"/>
      <c r="E10" s="36"/>
    </row>
    <row r="11" spans="2:5" ht="10.050000000000001" customHeight="1" x14ac:dyDescent="0.3"/>
    <row r="12" spans="2:5" ht="25.95" customHeight="1" x14ac:dyDescent="0.3">
      <c r="B12" s="37" t="s">
        <v>6</v>
      </c>
      <c r="C12" s="38"/>
      <c r="D12" s="38"/>
      <c r="E12" s="38"/>
    </row>
    <row r="13" spans="2:5" ht="6" customHeight="1" x14ac:dyDescent="0.3"/>
    <row r="14" spans="2:5" ht="19.95" customHeight="1" x14ac:dyDescent="0.3">
      <c r="B14" s="1" t="s">
        <v>7</v>
      </c>
      <c r="C14" s="41" t="s">
        <v>8</v>
      </c>
      <c r="D14" s="42"/>
      <c r="E14" s="42"/>
    </row>
    <row r="15" spans="2:5" ht="19.95" customHeight="1" x14ac:dyDescent="0.3">
      <c r="B15" s="2" t="s">
        <v>9</v>
      </c>
      <c r="C15" s="33" t="s">
        <v>10</v>
      </c>
      <c r="D15" s="34"/>
      <c r="E15" s="34"/>
    </row>
    <row r="16" spans="2:5" ht="34.049999999999997" customHeight="1" x14ac:dyDescent="0.3">
      <c r="B16" s="4" t="s">
        <v>11</v>
      </c>
      <c r="C16" s="31" t="s">
        <v>12</v>
      </c>
      <c r="D16" s="32"/>
      <c r="E16" s="32"/>
    </row>
    <row r="17" spans="2:5" ht="34.049999999999997" customHeight="1" x14ac:dyDescent="0.3">
      <c r="B17" s="2" t="s">
        <v>13</v>
      </c>
      <c r="C17" s="33" t="s">
        <v>14</v>
      </c>
      <c r="D17" s="34"/>
      <c r="E17" s="34"/>
    </row>
    <row r="18" spans="2:5" ht="19.95" customHeight="1" x14ac:dyDescent="0.3">
      <c r="B18" s="4" t="s">
        <v>15</v>
      </c>
      <c r="C18" s="31" t="s">
        <v>16</v>
      </c>
      <c r="D18" s="32"/>
      <c r="E18" s="32"/>
    </row>
    <row r="19" spans="2:5" ht="19.95" customHeight="1" x14ac:dyDescent="0.3">
      <c r="B19" s="2" t="s">
        <v>17</v>
      </c>
      <c r="C19" s="33" t="s">
        <v>18</v>
      </c>
      <c r="D19" s="34"/>
      <c r="E19" s="34"/>
    </row>
    <row r="20" spans="2:5" ht="10.050000000000001" customHeight="1" x14ac:dyDescent="0.3"/>
    <row r="21" spans="2:5" ht="25.95" customHeight="1" x14ac:dyDescent="0.3">
      <c r="B21" s="37" t="s">
        <v>19</v>
      </c>
      <c r="C21" s="38"/>
      <c r="D21" s="38"/>
      <c r="E21" s="38"/>
    </row>
    <row r="22" spans="2:5" ht="6" customHeight="1" x14ac:dyDescent="0.3"/>
    <row r="23" spans="2:5" ht="19.95" customHeight="1" x14ac:dyDescent="0.3">
      <c r="B23" s="1" t="s">
        <v>20</v>
      </c>
      <c r="C23" s="41" t="s">
        <v>8</v>
      </c>
      <c r="D23" s="42"/>
      <c r="E23" s="1" t="s">
        <v>21</v>
      </c>
    </row>
    <row r="24" spans="2:5" ht="19.95" customHeight="1" x14ac:dyDescent="0.3">
      <c r="B24" s="6" t="s">
        <v>22</v>
      </c>
      <c r="C24" s="33" t="s">
        <v>23</v>
      </c>
      <c r="D24" s="34"/>
      <c r="E24" s="3" t="s">
        <v>24</v>
      </c>
    </row>
    <row r="25" spans="2:5" ht="34.049999999999997" customHeight="1" x14ac:dyDescent="0.3">
      <c r="B25" s="7" t="s">
        <v>25</v>
      </c>
      <c r="C25" s="31" t="s">
        <v>26</v>
      </c>
      <c r="D25" s="32"/>
      <c r="E25" s="5" t="s">
        <v>27</v>
      </c>
    </row>
    <row r="26" spans="2:5" ht="19.95" customHeight="1" x14ac:dyDescent="0.3">
      <c r="B26" s="6" t="s">
        <v>28</v>
      </c>
      <c r="C26" s="33" t="s">
        <v>29</v>
      </c>
      <c r="D26" s="34"/>
      <c r="E26" s="3" t="s">
        <v>30</v>
      </c>
    </row>
    <row r="27" spans="2:5" ht="19.95" customHeight="1" x14ac:dyDescent="0.3">
      <c r="B27" s="7" t="s">
        <v>31</v>
      </c>
      <c r="C27" s="31" t="s">
        <v>32</v>
      </c>
      <c r="D27" s="32"/>
      <c r="E27" s="5" t="s">
        <v>33</v>
      </c>
    </row>
    <row r="28" spans="2:5" ht="19.95" customHeight="1" x14ac:dyDescent="0.3">
      <c r="B28" s="6" t="s">
        <v>34</v>
      </c>
      <c r="C28" s="33" t="s">
        <v>35</v>
      </c>
      <c r="D28" s="34"/>
      <c r="E28" s="3" t="s">
        <v>36</v>
      </c>
    </row>
    <row r="29" spans="2:5" ht="19.95" customHeight="1" x14ac:dyDescent="0.3">
      <c r="B29" s="7" t="s">
        <v>37</v>
      </c>
      <c r="C29" s="31" t="s">
        <v>38</v>
      </c>
      <c r="D29" s="32"/>
      <c r="E29" s="5" t="s">
        <v>39</v>
      </c>
    </row>
    <row r="30" spans="2:5" ht="19.95" customHeight="1" x14ac:dyDescent="0.3">
      <c r="B30" s="6" t="s">
        <v>40</v>
      </c>
      <c r="C30" s="33" t="s">
        <v>41</v>
      </c>
      <c r="D30" s="34"/>
      <c r="E30" s="3" t="s">
        <v>42</v>
      </c>
    </row>
    <row r="31" spans="2:5" ht="19.95" customHeight="1" x14ac:dyDescent="0.3">
      <c r="B31" s="7" t="s">
        <v>43</v>
      </c>
      <c r="C31" s="31" t="s">
        <v>44</v>
      </c>
      <c r="D31" s="32"/>
      <c r="E31" s="5" t="s">
        <v>45</v>
      </c>
    </row>
    <row r="32" spans="2:5" ht="19.95" customHeight="1" x14ac:dyDescent="0.3">
      <c r="B32" s="6" t="s">
        <v>46</v>
      </c>
      <c r="C32" s="33" t="s">
        <v>47</v>
      </c>
      <c r="D32" s="34"/>
      <c r="E32" s="3" t="s">
        <v>48</v>
      </c>
    </row>
    <row r="33" spans="2:5" ht="19.95" customHeight="1" x14ac:dyDescent="0.3">
      <c r="B33" s="7" t="s">
        <v>49</v>
      </c>
      <c r="C33" s="31" t="s">
        <v>50</v>
      </c>
      <c r="D33" s="32"/>
      <c r="E33" s="5" t="s">
        <v>51</v>
      </c>
    </row>
    <row r="34" spans="2:5" ht="19.95" customHeight="1" x14ac:dyDescent="0.3">
      <c r="B34" s="6" t="s">
        <v>52</v>
      </c>
      <c r="C34" s="33" t="s">
        <v>53</v>
      </c>
      <c r="D34" s="34"/>
      <c r="E34" s="3" t="s">
        <v>54</v>
      </c>
    </row>
    <row r="35" spans="2:5" ht="19.95" customHeight="1" x14ac:dyDescent="0.3">
      <c r="B35" s="7" t="s">
        <v>55</v>
      </c>
      <c r="C35" s="31" t="s">
        <v>56</v>
      </c>
      <c r="D35" s="32"/>
      <c r="E35" s="5" t="s">
        <v>57</v>
      </c>
    </row>
  </sheetData>
  <mergeCells count="27">
    <mergeCell ref="B2:E2"/>
    <mergeCell ref="C23:D23"/>
    <mergeCell ref="C15:E15"/>
    <mergeCell ref="B1:E1"/>
    <mergeCell ref="B8:E8"/>
    <mergeCell ref="C14:E14"/>
    <mergeCell ref="B10:E10"/>
    <mergeCell ref="B6:E6"/>
    <mergeCell ref="C26:D26"/>
    <mergeCell ref="C35:D35"/>
    <mergeCell ref="C29:D29"/>
    <mergeCell ref="B4:E4"/>
    <mergeCell ref="C25:D25"/>
    <mergeCell ref="C17:E17"/>
    <mergeCell ref="C31:D31"/>
    <mergeCell ref="C19:E19"/>
    <mergeCell ref="B12:E12"/>
    <mergeCell ref="C27:D27"/>
    <mergeCell ref="B21:E21"/>
    <mergeCell ref="C18:E18"/>
    <mergeCell ref="C32:D32"/>
    <mergeCell ref="C28:D28"/>
    <mergeCell ref="C16:E16"/>
    <mergeCell ref="C34:D34"/>
    <mergeCell ref="C24:D24"/>
    <mergeCell ref="C30:D30"/>
    <mergeCell ref="C33:D33"/>
  </mergeCells>
  <phoneticPr fontId="15"/>
  <hyperlinks>
    <hyperlink ref="B24" location="'01_結論サマリ'!A1" display="01_結論サマリ" xr:uid="{00000000-0004-0000-0000-000000000000}"/>
    <hyperlink ref="B25" location="'02_たとえ話（小学生向け）'!A1" display="02_たとえ話（小学生向け）" xr:uid="{00000000-0004-0000-0000-000001000000}"/>
    <hyperlink ref="B26" location="'03_根本原因'!A1" display="03_根本原因" xr:uid="{00000000-0004-0000-0000-000002000000}"/>
    <hyperlink ref="B27" location="'04_動作原理'!A1" display="04_動作原理" xr:uid="{00000000-0004-0000-0000-000003000000}"/>
    <hyperlink ref="B28" location="'05_動作イメージ'!A1" display="05_動作イメージ" xr:uid="{00000000-0004-0000-0000-000004000000}"/>
    <hyperlink ref="B29" location="'06_巻き戻さない設定'!A1" display="06_巻き戻さない設定" xr:uid="{00000000-0004-0000-0000-000005000000}"/>
    <hyperlink ref="B30" location="'07_設定手順・コマンド'!A1" display="07_設定手順・コマンド" xr:uid="{00000000-0004-0000-0000-000006000000}"/>
    <hyperlink ref="B31" location="'08_推奨運用チェック'!A1" display="08_推奨運用チェック" xr:uid="{00000000-0004-0000-0000-000007000000}"/>
    <hyperlink ref="B32" location="'09_失敗原因の調べ方'!A1" display="09_失敗原因の調べ方" xr:uid="{00000000-0004-0000-0000-000008000000}"/>
    <hyperlink ref="B33" location="'10_歴史と背景'!A1" display="10_歴史と背景" xr:uid="{00000000-0004-0000-0000-000009000000}"/>
    <hyperlink ref="B34" location="'11_用語集'!A1" display="11_用語集" xr:uid="{00000000-0004-0000-0000-00000A000000}"/>
    <hyperlink ref="B35" location="'12_参考情報'!A1" display="12_参考情報" xr:uid="{00000000-0004-0000-0000-00000B000000}"/>
  </hyperlinks>
  <printOptions horizontalCentered="1"/>
  <pageMargins left="0.4" right="0.4" top="0.5" bottom="0.5" header="0.5" footer="0.5"/>
  <pageSetup paperSize="9" fitToHeight="0" orientation="landscape"/>
  <headerFooter>
    <oddFooter>&amp;C&amp;"Meiryo UI"&amp;P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04040"/>
    <pageSetUpPr fitToPage="1"/>
  </sheetPr>
  <dimension ref="B1:F14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" customWidth="1"/>
    <col min="2" max="2" width="6" customWidth="1"/>
    <col min="3" max="3" width="30" customWidth="1"/>
    <col min="4" max="4" width="34" customWidth="1"/>
    <col min="5" max="5" width="72" customWidth="1"/>
    <col min="6" max="6" width="14" customWidth="1"/>
    <col min="7" max="7" width="13" customWidth="1"/>
  </cols>
  <sheetData>
    <row r="1" spans="2:6" ht="37.950000000000003" customHeight="1" x14ac:dyDescent="0.3">
      <c r="B1" s="43" t="s">
        <v>58</v>
      </c>
      <c r="C1" s="44"/>
      <c r="D1" s="44"/>
      <c r="E1" s="44"/>
      <c r="F1" s="44"/>
    </row>
    <row r="2" spans="2:6" ht="19.95" customHeight="1" x14ac:dyDescent="0.3">
      <c r="B2" s="39" t="s">
        <v>59</v>
      </c>
      <c r="C2" s="40"/>
      <c r="D2" s="40"/>
      <c r="E2" s="40"/>
      <c r="F2" s="40"/>
    </row>
    <row r="3" spans="2:6" ht="7.95" customHeight="1" x14ac:dyDescent="0.3"/>
    <row r="4" spans="2:6" ht="25.95" customHeight="1" x14ac:dyDescent="0.3">
      <c r="B4" s="37" t="s">
        <v>60</v>
      </c>
      <c r="C4" s="38"/>
      <c r="D4" s="38"/>
      <c r="E4" s="38"/>
      <c r="F4" s="38"/>
    </row>
    <row r="5" spans="2:6" ht="6" customHeight="1" x14ac:dyDescent="0.3"/>
    <row r="6" spans="2:6" ht="19.95" customHeight="1" x14ac:dyDescent="0.3"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</row>
    <row r="7" spans="2:6" ht="90" customHeight="1" x14ac:dyDescent="0.3">
      <c r="B7" s="8" t="s">
        <v>66</v>
      </c>
      <c r="C7" s="2" t="s">
        <v>67</v>
      </c>
      <c r="D7" s="3" t="s">
        <v>68</v>
      </c>
      <c r="E7" s="3" t="s">
        <v>69</v>
      </c>
      <c r="F7" s="8" t="s">
        <v>70</v>
      </c>
    </row>
    <row r="8" spans="2:6" ht="76.05" customHeight="1" x14ac:dyDescent="0.3">
      <c r="B8" s="9" t="s">
        <v>71</v>
      </c>
      <c r="C8" s="4" t="s">
        <v>72</v>
      </c>
      <c r="D8" s="5" t="s">
        <v>73</v>
      </c>
      <c r="E8" s="5" t="s">
        <v>74</v>
      </c>
      <c r="F8" s="9" t="s">
        <v>75</v>
      </c>
    </row>
    <row r="9" spans="2:6" ht="76.05" customHeight="1" x14ac:dyDescent="0.3">
      <c r="B9" s="8" t="s">
        <v>76</v>
      </c>
      <c r="C9" s="2" t="s">
        <v>77</v>
      </c>
      <c r="D9" s="3" t="s">
        <v>78</v>
      </c>
      <c r="E9" s="3" t="s">
        <v>79</v>
      </c>
      <c r="F9" s="8" t="s">
        <v>80</v>
      </c>
    </row>
    <row r="10" spans="2:6" ht="61.95" customHeight="1" x14ac:dyDescent="0.3">
      <c r="B10" s="9" t="s">
        <v>81</v>
      </c>
      <c r="C10" s="4" t="s">
        <v>82</v>
      </c>
      <c r="D10" s="5" t="s">
        <v>83</v>
      </c>
      <c r="E10" s="5" t="s">
        <v>84</v>
      </c>
      <c r="F10" s="9" t="s">
        <v>85</v>
      </c>
    </row>
    <row r="11" spans="2:6" ht="76.05" customHeight="1" x14ac:dyDescent="0.3">
      <c r="B11" s="8" t="s">
        <v>86</v>
      </c>
      <c r="C11" s="2" t="s">
        <v>87</v>
      </c>
      <c r="D11" s="3" t="s">
        <v>88</v>
      </c>
      <c r="E11" s="3" t="s">
        <v>89</v>
      </c>
      <c r="F11" s="8" t="s">
        <v>90</v>
      </c>
    </row>
    <row r="12" spans="2:6" ht="61.95" customHeight="1" x14ac:dyDescent="0.3">
      <c r="B12" s="9" t="s">
        <v>91</v>
      </c>
      <c r="C12" s="4" t="s">
        <v>92</v>
      </c>
      <c r="D12" s="5" t="s">
        <v>93</v>
      </c>
      <c r="E12" s="5" t="s">
        <v>94</v>
      </c>
      <c r="F12" s="9" t="s">
        <v>95</v>
      </c>
    </row>
    <row r="13" spans="2:6" ht="76.05" customHeight="1" x14ac:dyDescent="0.3">
      <c r="B13" s="8" t="s">
        <v>96</v>
      </c>
      <c r="C13" s="2" t="s">
        <v>97</v>
      </c>
      <c r="D13" s="3" t="s">
        <v>98</v>
      </c>
      <c r="E13" s="3" t="s">
        <v>99</v>
      </c>
      <c r="F13" s="8" t="s">
        <v>100</v>
      </c>
    </row>
    <row r="14" spans="2:6" ht="76.05" customHeight="1" x14ac:dyDescent="0.3">
      <c r="B14" s="9" t="s">
        <v>101</v>
      </c>
      <c r="C14" s="4" t="s">
        <v>102</v>
      </c>
      <c r="D14" s="5" t="s">
        <v>103</v>
      </c>
      <c r="E14" s="5" t="s">
        <v>104</v>
      </c>
      <c r="F14" s="9" t="s">
        <v>105</v>
      </c>
    </row>
  </sheetData>
  <mergeCells count="3">
    <mergeCell ref="B2:F2"/>
    <mergeCell ref="B4:F4"/>
    <mergeCell ref="B1:F1"/>
  </mergeCells>
  <phoneticPr fontId="15"/>
  <printOptions horizontalCentered="1"/>
  <pageMargins left="0.4" right="0.4" top="0.5" bottom="0.5" header="0.5" footer="0.5"/>
  <pageSetup paperSize="9" fitToHeight="0" orientation="landscape"/>
  <headerFooter>
    <oddFooter>&amp;C&amp;"Meiryo UI"&amp;P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95959"/>
    <pageSetUpPr fitToPage="1"/>
  </sheetPr>
  <dimension ref="B1:E3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" customWidth="1"/>
    <col min="2" max="2" width="6" customWidth="1"/>
    <col min="3" max="3" width="26" customWidth="1"/>
    <col min="4" max="4" width="28" customWidth="1"/>
    <col min="5" max="5" width="70" customWidth="1"/>
    <col min="6" max="6" width="13" customWidth="1"/>
  </cols>
  <sheetData>
    <row r="1" spans="2:5" ht="37.950000000000003" customHeight="1" x14ac:dyDescent="0.3">
      <c r="B1" s="43" t="s">
        <v>106</v>
      </c>
      <c r="C1" s="44"/>
      <c r="D1" s="44"/>
      <c r="E1" s="44"/>
    </row>
    <row r="2" spans="2:5" ht="19.95" customHeight="1" x14ac:dyDescent="0.3">
      <c r="B2" s="39" t="s">
        <v>107</v>
      </c>
      <c r="C2" s="40"/>
      <c r="D2" s="40"/>
      <c r="E2" s="40"/>
    </row>
    <row r="3" spans="2:5" ht="7.95" customHeight="1" x14ac:dyDescent="0.3"/>
    <row r="4" spans="2:5" ht="25.95" customHeight="1" x14ac:dyDescent="0.3">
      <c r="B4" s="37" t="s">
        <v>108</v>
      </c>
      <c r="C4" s="38"/>
      <c r="D4" s="38"/>
      <c r="E4" s="38"/>
    </row>
    <row r="5" spans="2:5" ht="6" customHeight="1" x14ac:dyDescent="0.3"/>
    <row r="6" spans="2:5" ht="19.95" customHeight="1" x14ac:dyDescent="0.3">
      <c r="B6" s="1" t="s">
        <v>61</v>
      </c>
      <c r="C6" s="1" t="s">
        <v>109</v>
      </c>
      <c r="D6" s="1" t="s">
        <v>110</v>
      </c>
      <c r="E6" s="1" t="s">
        <v>111</v>
      </c>
    </row>
    <row r="7" spans="2:5" ht="34.049999999999997" customHeight="1" x14ac:dyDescent="0.3">
      <c r="B7" s="8" t="s">
        <v>66</v>
      </c>
      <c r="C7" s="3" t="s">
        <v>112</v>
      </c>
      <c r="D7" s="3" t="s">
        <v>113</v>
      </c>
      <c r="E7" s="3" t="s">
        <v>114</v>
      </c>
    </row>
    <row r="8" spans="2:5" ht="34.049999999999997" customHeight="1" x14ac:dyDescent="0.3">
      <c r="B8" s="9" t="s">
        <v>71</v>
      </c>
      <c r="C8" s="5" t="s">
        <v>115</v>
      </c>
      <c r="D8" s="5" t="s">
        <v>116</v>
      </c>
      <c r="E8" s="5" t="s">
        <v>117</v>
      </c>
    </row>
    <row r="9" spans="2:5" ht="19.95" customHeight="1" x14ac:dyDescent="0.3">
      <c r="B9" s="8" t="s">
        <v>76</v>
      </c>
      <c r="C9" s="3" t="s">
        <v>118</v>
      </c>
      <c r="D9" s="3" t="s">
        <v>119</v>
      </c>
      <c r="E9" s="3" t="s">
        <v>120</v>
      </c>
    </row>
    <row r="10" spans="2:5" ht="34.049999999999997" customHeight="1" x14ac:dyDescent="0.3">
      <c r="B10" s="9" t="s">
        <v>81</v>
      </c>
      <c r="C10" s="5" t="s">
        <v>121</v>
      </c>
      <c r="D10" s="5" t="s">
        <v>122</v>
      </c>
      <c r="E10" s="5" t="s">
        <v>123</v>
      </c>
    </row>
    <row r="11" spans="2:5" ht="19.95" customHeight="1" x14ac:dyDescent="0.3">
      <c r="B11" s="8" t="s">
        <v>86</v>
      </c>
      <c r="C11" s="3" t="s">
        <v>124</v>
      </c>
      <c r="D11" s="3" t="s">
        <v>125</v>
      </c>
      <c r="E11" s="3" t="s">
        <v>126</v>
      </c>
    </row>
    <row r="12" spans="2:5" ht="34.049999999999997" customHeight="1" x14ac:dyDescent="0.3">
      <c r="B12" s="9" t="s">
        <v>91</v>
      </c>
      <c r="C12" s="5" t="s">
        <v>127</v>
      </c>
      <c r="D12" s="5" t="s">
        <v>128</v>
      </c>
      <c r="E12" s="5" t="s">
        <v>129</v>
      </c>
    </row>
    <row r="13" spans="2:5" ht="19.95" customHeight="1" x14ac:dyDescent="0.3">
      <c r="B13" s="8" t="s">
        <v>96</v>
      </c>
      <c r="C13" s="3" t="s">
        <v>130</v>
      </c>
      <c r="D13" s="3" t="s">
        <v>131</v>
      </c>
      <c r="E13" s="3" t="s">
        <v>132</v>
      </c>
    </row>
    <row r="14" spans="2:5" ht="19.95" customHeight="1" x14ac:dyDescent="0.3">
      <c r="B14" s="9" t="s">
        <v>101</v>
      </c>
      <c r="C14" s="5" t="s">
        <v>133</v>
      </c>
      <c r="D14" s="5" t="s">
        <v>134</v>
      </c>
      <c r="E14" s="5" t="s">
        <v>135</v>
      </c>
    </row>
    <row r="15" spans="2:5" ht="34.049999999999997" customHeight="1" x14ac:dyDescent="0.3">
      <c r="B15" s="8" t="s">
        <v>136</v>
      </c>
      <c r="C15" s="3" t="s">
        <v>137</v>
      </c>
      <c r="D15" s="3" t="s">
        <v>138</v>
      </c>
      <c r="E15" s="3" t="s">
        <v>139</v>
      </c>
    </row>
    <row r="16" spans="2:5" ht="19.95" customHeight="1" x14ac:dyDescent="0.3">
      <c r="B16" s="9" t="s">
        <v>105</v>
      </c>
      <c r="C16" s="5" t="s">
        <v>140</v>
      </c>
      <c r="D16" s="5" t="s">
        <v>141</v>
      </c>
      <c r="E16" s="5" t="s">
        <v>142</v>
      </c>
    </row>
    <row r="17" spans="2:5" ht="34.049999999999997" customHeight="1" x14ac:dyDescent="0.3">
      <c r="B17" s="8" t="s">
        <v>143</v>
      </c>
      <c r="C17" s="3" t="s">
        <v>144</v>
      </c>
      <c r="D17" s="3" t="s">
        <v>145</v>
      </c>
      <c r="E17" s="3" t="s">
        <v>146</v>
      </c>
    </row>
    <row r="18" spans="2:5" ht="34.049999999999997" customHeight="1" x14ac:dyDescent="0.3">
      <c r="B18" s="9" t="s">
        <v>147</v>
      </c>
      <c r="C18" s="5" t="s">
        <v>148</v>
      </c>
      <c r="D18" s="5" t="s">
        <v>149</v>
      </c>
      <c r="E18" s="5" t="s">
        <v>150</v>
      </c>
    </row>
    <row r="19" spans="2:5" ht="10.050000000000001" customHeight="1" x14ac:dyDescent="0.3"/>
    <row r="20" spans="2:5" ht="25.95" customHeight="1" x14ac:dyDescent="0.3">
      <c r="B20" s="37" t="s">
        <v>151</v>
      </c>
      <c r="C20" s="38"/>
      <c r="D20" s="38"/>
      <c r="E20" s="38"/>
    </row>
    <row r="21" spans="2:5" ht="6" customHeight="1" x14ac:dyDescent="0.3"/>
    <row r="22" spans="2:5" ht="19.95" customHeight="1" x14ac:dyDescent="0.3">
      <c r="B22" s="1" t="s">
        <v>61</v>
      </c>
      <c r="C22" s="41" t="s">
        <v>152</v>
      </c>
      <c r="D22" s="42"/>
      <c r="E22" s="42"/>
    </row>
    <row r="23" spans="2:5" ht="19.95" customHeight="1" x14ac:dyDescent="0.3">
      <c r="B23" s="8" t="s">
        <v>66</v>
      </c>
      <c r="C23" s="33" t="s">
        <v>153</v>
      </c>
      <c r="D23" s="34"/>
      <c r="E23" s="34"/>
    </row>
    <row r="24" spans="2:5" ht="19.95" customHeight="1" x14ac:dyDescent="0.3">
      <c r="B24" s="9" t="s">
        <v>71</v>
      </c>
      <c r="C24" s="31" t="s">
        <v>154</v>
      </c>
      <c r="D24" s="32"/>
      <c r="E24" s="32"/>
    </row>
    <row r="25" spans="2:5" ht="19.95" customHeight="1" x14ac:dyDescent="0.3">
      <c r="B25" s="8" t="s">
        <v>76</v>
      </c>
      <c r="C25" s="33" t="s">
        <v>155</v>
      </c>
      <c r="D25" s="34"/>
      <c r="E25" s="34"/>
    </row>
    <row r="26" spans="2:5" ht="19.95" customHeight="1" x14ac:dyDescent="0.3">
      <c r="B26" s="9" t="s">
        <v>81</v>
      </c>
      <c r="C26" s="31" t="s">
        <v>156</v>
      </c>
      <c r="D26" s="32"/>
      <c r="E26" s="32"/>
    </row>
    <row r="27" spans="2:5" ht="19.95" customHeight="1" x14ac:dyDescent="0.3">
      <c r="B27" s="8" t="s">
        <v>86</v>
      </c>
      <c r="C27" s="33" t="s">
        <v>157</v>
      </c>
      <c r="D27" s="34"/>
      <c r="E27" s="34"/>
    </row>
    <row r="28" spans="2:5" ht="19.95" customHeight="1" x14ac:dyDescent="0.3">
      <c r="B28" s="9" t="s">
        <v>91</v>
      </c>
      <c r="C28" s="31" t="s">
        <v>158</v>
      </c>
      <c r="D28" s="32"/>
      <c r="E28" s="32"/>
    </row>
    <row r="29" spans="2:5" ht="19.95" customHeight="1" x14ac:dyDescent="0.3">
      <c r="B29" s="8" t="s">
        <v>96</v>
      </c>
      <c r="C29" s="47" t="s">
        <v>159</v>
      </c>
      <c r="D29" s="48"/>
      <c r="E29" s="48"/>
    </row>
    <row r="30" spans="2:5" ht="34.049999999999997" customHeight="1" x14ac:dyDescent="0.3">
      <c r="B30" s="9" t="s">
        <v>101</v>
      </c>
      <c r="C30" s="31" t="s">
        <v>160</v>
      </c>
      <c r="D30" s="32"/>
      <c r="E30" s="32"/>
    </row>
    <row r="31" spans="2:5" ht="19.95" customHeight="1" x14ac:dyDescent="0.3">
      <c r="B31" s="8" t="s">
        <v>136</v>
      </c>
      <c r="C31" s="33" t="s">
        <v>161</v>
      </c>
      <c r="D31" s="34"/>
      <c r="E31" s="34"/>
    </row>
    <row r="32" spans="2:5" ht="34.049999999999997" customHeight="1" x14ac:dyDescent="0.3">
      <c r="B32" s="9" t="s">
        <v>105</v>
      </c>
      <c r="C32" s="31" t="s">
        <v>162</v>
      </c>
      <c r="D32" s="32"/>
      <c r="E32" s="32"/>
    </row>
    <row r="33" spans="2:5" ht="34.049999999999997" customHeight="1" x14ac:dyDescent="0.3">
      <c r="B33" s="8" t="s">
        <v>143</v>
      </c>
      <c r="C33" s="47" t="s">
        <v>163</v>
      </c>
      <c r="D33" s="48"/>
      <c r="E33" s="48"/>
    </row>
    <row r="34" spans="2:5" ht="10.050000000000001" customHeight="1" x14ac:dyDescent="0.3"/>
    <row r="35" spans="2:5" ht="25.95" customHeight="1" x14ac:dyDescent="0.3">
      <c r="B35" s="37" t="s">
        <v>164</v>
      </c>
      <c r="C35" s="38"/>
      <c r="D35" s="38"/>
      <c r="E35" s="38"/>
    </row>
    <row r="36" spans="2:5" ht="6" customHeight="1" x14ac:dyDescent="0.3"/>
    <row r="37" spans="2:5" ht="34.049999999999997" customHeight="1" x14ac:dyDescent="0.3">
      <c r="B37" s="45" t="s">
        <v>165</v>
      </c>
      <c r="C37" s="46"/>
      <c r="D37" s="46"/>
      <c r="E37" s="46"/>
    </row>
    <row r="38" spans="2:5" ht="34.049999999999997" customHeight="1" x14ac:dyDescent="0.3">
      <c r="B38" s="45" t="s">
        <v>166</v>
      </c>
      <c r="C38" s="46"/>
      <c r="D38" s="46"/>
      <c r="E38" s="46"/>
    </row>
    <row r="39" spans="2:5" ht="19.95" customHeight="1" x14ac:dyDescent="0.3">
      <c r="B39" s="45" t="s">
        <v>167</v>
      </c>
      <c r="C39" s="46"/>
      <c r="D39" s="46"/>
      <c r="E39" s="46"/>
    </row>
  </sheetData>
  <mergeCells count="20">
    <mergeCell ref="B1:E1"/>
    <mergeCell ref="B38:E38"/>
    <mergeCell ref="C26:E26"/>
    <mergeCell ref="C29:E29"/>
    <mergeCell ref="C25:E25"/>
    <mergeCell ref="B39:E39"/>
    <mergeCell ref="B2:E2"/>
    <mergeCell ref="C30:E30"/>
    <mergeCell ref="C24:E24"/>
    <mergeCell ref="C33:E33"/>
    <mergeCell ref="B4:E4"/>
    <mergeCell ref="B35:E35"/>
    <mergeCell ref="C23:E23"/>
    <mergeCell ref="C32:E32"/>
    <mergeCell ref="C28:E28"/>
    <mergeCell ref="C31:E31"/>
    <mergeCell ref="B37:E37"/>
    <mergeCell ref="C22:E22"/>
    <mergeCell ref="B20:E20"/>
    <mergeCell ref="C27:E27"/>
  </mergeCells>
  <phoneticPr fontId="15"/>
  <printOptions horizontalCentered="1"/>
  <pageMargins left="0.4" right="0.4" top="0.5" bottom="0.5" header="0.5" footer="0.5"/>
  <pageSetup paperSize="9" fitToHeight="0" orientation="landscape"/>
  <headerFooter>
    <oddFooter>&amp;C&amp;"Meiryo UI"&amp;P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04040"/>
    <pageSetUpPr fitToPage="1"/>
  </sheetPr>
  <dimension ref="B1:E3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" customWidth="1"/>
    <col min="2" max="2" width="20" customWidth="1"/>
    <col min="3" max="3" width="32" customWidth="1"/>
    <col min="4" max="4" width="66" customWidth="1"/>
    <col min="5" max="5" width="46" customWidth="1"/>
    <col min="6" max="6" width="13" customWidth="1"/>
  </cols>
  <sheetData>
    <row r="1" spans="2:5" ht="37.950000000000003" customHeight="1" x14ac:dyDescent="0.3">
      <c r="B1" s="43" t="s">
        <v>168</v>
      </c>
      <c r="C1" s="44"/>
      <c r="D1" s="44"/>
      <c r="E1" s="44"/>
    </row>
    <row r="2" spans="2:5" ht="19.95" customHeight="1" x14ac:dyDescent="0.3">
      <c r="B2" s="39" t="s">
        <v>169</v>
      </c>
      <c r="C2" s="40"/>
      <c r="D2" s="40"/>
      <c r="E2" s="40"/>
    </row>
    <row r="3" spans="2:5" ht="7.95" customHeight="1" x14ac:dyDescent="0.3"/>
    <row r="4" spans="2:5" ht="25.95" customHeight="1" x14ac:dyDescent="0.3">
      <c r="B4" s="37" t="s">
        <v>170</v>
      </c>
      <c r="C4" s="38"/>
      <c r="D4" s="38"/>
      <c r="E4" s="38"/>
    </row>
    <row r="5" spans="2:5" ht="6" customHeight="1" x14ac:dyDescent="0.3"/>
    <row r="6" spans="2:5" ht="19.95" customHeight="1" x14ac:dyDescent="0.3">
      <c r="B6" s="1" t="s">
        <v>171</v>
      </c>
      <c r="C6" s="1" t="s">
        <v>172</v>
      </c>
      <c r="D6" s="1" t="s">
        <v>173</v>
      </c>
      <c r="E6" s="1" t="s">
        <v>174</v>
      </c>
    </row>
    <row r="7" spans="2:5" ht="76.05" customHeight="1" x14ac:dyDescent="0.3">
      <c r="B7" s="2" t="s">
        <v>175</v>
      </c>
      <c r="C7" s="3" t="s">
        <v>176</v>
      </c>
      <c r="D7" s="3" t="s">
        <v>177</v>
      </c>
      <c r="E7" s="3" t="s">
        <v>178</v>
      </c>
    </row>
    <row r="8" spans="2:5" ht="61.95" customHeight="1" x14ac:dyDescent="0.3">
      <c r="B8" s="4" t="s">
        <v>179</v>
      </c>
      <c r="C8" s="5" t="s">
        <v>180</v>
      </c>
      <c r="D8" s="5" t="s">
        <v>181</v>
      </c>
      <c r="E8" s="5" t="s">
        <v>182</v>
      </c>
    </row>
    <row r="9" spans="2:5" ht="90" customHeight="1" x14ac:dyDescent="0.3">
      <c r="B9" s="2" t="s">
        <v>183</v>
      </c>
      <c r="C9" s="3" t="s">
        <v>184</v>
      </c>
      <c r="D9" s="3" t="s">
        <v>185</v>
      </c>
      <c r="E9" s="3" t="s">
        <v>186</v>
      </c>
    </row>
    <row r="10" spans="2:5" ht="76.05" customHeight="1" x14ac:dyDescent="0.3">
      <c r="B10" s="4" t="s">
        <v>187</v>
      </c>
      <c r="C10" s="5" t="s">
        <v>188</v>
      </c>
      <c r="D10" s="5" t="s">
        <v>189</v>
      </c>
      <c r="E10" s="5" t="s">
        <v>190</v>
      </c>
    </row>
    <row r="11" spans="2:5" ht="90" customHeight="1" x14ac:dyDescent="0.3">
      <c r="B11" s="2" t="s">
        <v>191</v>
      </c>
      <c r="C11" s="3" t="s">
        <v>192</v>
      </c>
      <c r="D11" s="3" t="s">
        <v>193</v>
      </c>
      <c r="E11" s="3" t="s">
        <v>194</v>
      </c>
    </row>
    <row r="12" spans="2:5" ht="61.95" customHeight="1" x14ac:dyDescent="0.3">
      <c r="B12" s="4" t="s">
        <v>195</v>
      </c>
      <c r="C12" s="5" t="s">
        <v>196</v>
      </c>
      <c r="D12" s="5" t="s">
        <v>197</v>
      </c>
      <c r="E12" s="5" t="s">
        <v>198</v>
      </c>
    </row>
    <row r="13" spans="2:5" ht="10.050000000000001" customHeight="1" x14ac:dyDescent="0.3"/>
    <row r="14" spans="2:5" ht="25.95" customHeight="1" x14ac:dyDescent="0.3">
      <c r="B14" s="37" t="s">
        <v>199</v>
      </c>
      <c r="C14" s="38"/>
      <c r="D14" s="38"/>
      <c r="E14" s="38"/>
    </row>
    <row r="15" spans="2:5" ht="6" customHeight="1" x14ac:dyDescent="0.3"/>
    <row r="16" spans="2:5" ht="19.95" customHeight="1" x14ac:dyDescent="0.3">
      <c r="B16" s="10" t="s">
        <v>200</v>
      </c>
      <c r="C16" s="49" t="s">
        <v>201</v>
      </c>
      <c r="D16" s="50"/>
      <c r="E16" s="12" t="s">
        <v>202</v>
      </c>
    </row>
    <row r="17" spans="2:5" ht="18" customHeight="1" x14ac:dyDescent="0.3">
      <c r="C17" s="51" t="s">
        <v>203</v>
      </c>
      <c r="D17" s="46"/>
    </row>
    <row r="18" spans="2:5" ht="32.549999999999997" customHeight="1" x14ac:dyDescent="0.3">
      <c r="B18" s="10" t="s">
        <v>204</v>
      </c>
      <c r="C18" s="49" t="s">
        <v>205</v>
      </c>
      <c r="D18" s="50"/>
      <c r="E18" s="12" t="s">
        <v>206</v>
      </c>
    </row>
    <row r="19" spans="2:5" ht="18" customHeight="1" x14ac:dyDescent="0.3">
      <c r="C19" s="51" t="s">
        <v>203</v>
      </c>
      <c r="D19" s="46"/>
    </row>
    <row r="20" spans="2:5" ht="19.95" customHeight="1" x14ac:dyDescent="0.3">
      <c r="B20" s="10" t="s">
        <v>207</v>
      </c>
      <c r="C20" s="49" t="s">
        <v>208</v>
      </c>
      <c r="D20" s="50"/>
      <c r="E20" s="12" t="s">
        <v>209</v>
      </c>
    </row>
    <row r="21" spans="2:5" ht="18" customHeight="1" x14ac:dyDescent="0.3">
      <c r="C21" s="51" t="s">
        <v>203</v>
      </c>
      <c r="D21" s="46"/>
    </row>
    <row r="22" spans="2:5" ht="19.95" customHeight="1" x14ac:dyDescent="0.3">
      <c r="B22" s="10" t="s">
        <v>210</v>
      </c>
      <c r="C22" s="49" t="s">
        <v>211</v>
      </c>
      <c r="D22" s="50"/>
      <c r="E22" s="12" t="s">
        <v>212</v>
      </c>
    </row>
    <row r="23" spans="2:5" ht="18" customHeight="1" x14ac:dyDescent="0.3">
      <c r="C23" s="51" t="s">
        <v>203</v>
      </c>
      <c r="D23" s="46"/>
    </row>
    <row r="24" spans="2:5" ht="19.95" customHeight="1" x14ac:dyDescent="0.3">
      <c r="B24" s="10" t="s">
        <v>213</v>
      </c>
      <c r="C24" s="49" t="s">
        <v>214</v>
      </c>
      <c r="D24" s="50"/>
      <c r="E24" s="12" t="s">
        <v>215</v>
      </c>
    </row>
    <row r="25" spans="2:5" ht="18" customHeight="1" x14ac:dyDescent="0.3">
      <c r="C25" s="51" t="s">
        <v>203</v>
      </c>
      <c r="D25" s="46"/>
    </row>
    <row r="26" spans="2:5" ht="19.95" customHeight="1" x14ac:dyDescent="0.3">
      <c r="B26" s="10" t="s">
        <v>216</v>
      </c>
      <c r="C26" s="49" t="s">
        <v>217</v>
      </c>
      <c r="D26" s="50"/>
      <c r="E26" s="12" t="s">
        <v>218</v>
      </c>
    </row>
    <row r="27" spans="2:5" ht="18" customHeight="1" x14ac:dyDescent="0.3">
      <c r="C27" s="51" t="s">
        <v>203</v>
      </c>
      <c r="D27" s="46"/>
    </row>
    <row r="28" spans="2:5" ht="19.95" customHeight="1" x14ac:dyDescent="0.3">
      <c r="B28" s="10" t="s">
        <v>219</v>
      </c>
      <c r="C28" s="49" t="s">
        <v>220</v>
      </c>
      <c r="D28" s="50"/>
      <c r="E28" s="12" t="s">
        <v>221</v>
      </c>
    </row>
    <row r="29" spans="2:5" ht="10.050000000000001" customHeight="1" x14ac:dyDescent="0.3"/>
    <row r="30" spans="2:5" ht="25.95" customHeight="1" x14ac:dyDescent="0.3">
      <c r="B30" s="37" t="s">
        <v>222</v>
      </c>
      <c r="C30" s="38"/>
      <c r="D30" s="38"/>
      <c r="E30" s="38"/>
    </row>
    <row r="31" spans="2:5" ht="6" customHeight="1" x14ac:dyDescent="0.3"/>
    <row r="32" spans="2:5" ht="34.049999999999997" customHeight="1" x14ac:dyDescent="0.3">
      <c r="B32" s="35" t="s">
        <v>223</v>
      </c>
      <c r="C32" s="36"/>
      <c r="D32" s="36"/>
      <c r="E32" s="36"/>
    </row>
  </sheetData>
  <mergeCells count="19">
    <mergeCell ref="B2:E2"/>
    <mergeCell ref="C17:D17"/>
    <mergeCell ref="C23:D23"/>
    <mergeCell ref="B14:E14"/>
    <mergeCell ref="B1:E1"/>
    <mergeCell ref="C19:D19"/>
    <mergeCell ref="C18:D18"/>
    <mergeCell ref="C16:D16"/>
    <mergeCell ref="B4:E4"/>
    <mergeCell ref="C25:D25"/>
    <mergeCell ref="C22:D22"/>
    <mergeCell ref="C21:D21"/>
    <mergeCell ref="C24:D24"/>
    <mergeCell ref="B30:E30"/>
    <mergeCell ref="C26:D26"/>
    <mergeCell ref="B32:E32"/>
    <mergeCell ref="C20:D20"/>
    <mergeCell ref="C27:D27"/>
    <mergeCell ref="C28:D28"/>
  </mergeCells>
  <phoneticPr fontId="15"/>
  <printOptions horizontalCentered="1"/>
  <pageMargins left="0.4" right="0.4" top="0.5" bottom="0.5" header="0.5" footer="0.5"/>
  <pageSetup paperSize="9" fitToHeight="0" orientation="landscape"/>
  <headerFooter>
    <oddFooter>&amp;C&amp;"Meiryo UI"&amp;P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95959"/>
    <pageSetUpPr fitToPage="1"/>
  </sheetPr>
  <dimension ref="B1:F77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" customWidth="1"/>
    <col min="2" max="2" width="22" customWidth="1"/>
    <col min="3" max="5" width="30" customWidth="1"/>
    <col min="6" max="6" width="40" customWidth="1"/>
    <col min="7" max="7" width="13" customWidth="1"/>
  </cols>
  <sheetData>
    <row r="1" spans="2:6" ht="37.950000000000003" customHeight="1" x14ac:dyDescent="0.3">
      <c r="B1" s="43" t="s">
        <v>224</v>
      </c>
      <c r="C1" s="44"/>
      <c r="D1" s="44"/>
      <c r="E1" s="44"/>
      <c r="F1" s="44"/>
    </row>
    <row r="2" spans="2:6" ht="19.95" customHeight="1" x14ac:dyDescent="0.3">
      <c r="B2" s="39" t="s">
        <v>225</v>
      </c>
      <c r="C2" s="40"/>
      <c r="D2" s="40"/>
      <c r="E2" s="40"/>
      <c r="F2" s="40"/>
    </row>
    <row r="3" spans="2:6" ht="7.95" customHeight="1" x14ac:dyDescent="0.3"/>
    <row r="4" spans="2:6" ht="25.95" customHeight="1" x14ac:dyDescent="0.3">
      <c r="B4" s="37" t="s">
        <v>226</v>
      </c>
      <c r="C4" s="38"/>
      <c r="D4" s="38"/>
      <c r="E4" s="38"/>
      <c r="F4" s="38"/>
    </row>
    <row r="5" spans="2:6" ht="6" customHeight="1" x14ac:dyDescent="0.3"/>
    <row r="6" spans="2:6" ht="19.95" customHeight="1" x14ac:dyDescent="0.3">
      <c r="B6" s="1" t="s">
        <v>227</v>
      </c>
      <c r="C6" s="1" t="s">
        <v>228</v>
      </c>
      <c r="D6" s="1" t="s">
        <v>229</v>
      </c>
      <c r="E6" s="41" t="s">
        <v>230</v>
      </c>
      <c r="F6" s="42"/>
    </row>
    <row r="7" spans="2:6" ht="48" customHeight="1" x14ac:dyDescent="0.3">
      <c r="B7" s="2" t="s">
        <v>231</v>
      </c>
      <c r="C7" s="3" t="s">
        <v>232</v>
      </c>
      <c r="D7" s="3" t="s">
        <v>233</v>
      </c>
      <c r="E7" s="33" t="s">
        <v>234</v>
      </c>
      <c r="F7" s="34"/>
    </row>
    <row r="8" spans="2:6" ht="48" customHeight="1" x14ac:dyDescent="0.3">
      <c r="B8" s="4" t="s">
        <v>235</v>
      </c>
      <c r="C8" s="5" t="s">
        <v>236</v>
      </c>
      <c r="D8" s="5" t="s">
        <v>237</v>
      </c>
      <c r="E8" s="31" t="s">
        <v>238</v>
      </c>
      <c r="F8" s="32"/>
    </row>
    <row r="9" spans="2:6" ht="61.95" customHeight="1" x14ac:dyDescent="0.3">
      <c r="B9" s="2" t="s">
        <v>239</v>
      </c>
      <c r="C9" s="3" t="s">
        <v>240</v>
      </c>
      <c r="D9" s="3" t="s">
        <v>241</v>
      </c>
      <c r="E9" s="33" t="s">
        <v>242</v>
      </c>
      <c r="F9" s="34"/>
    </row>
    <row r="10" spans="2:6" ht="34.049999999999997" customHeight="1" x14ac:dyDescent="0.3">
      <c r="B10" s="4" t="s">
        <v>243</v>
      </c>
      <c r="C10" s="5" t="s">
        <v>244</v>
      </c>
      <c r="D10" s="5" t="s">
        <v>245</v>
      </c>
      <c r="E10" s="31" t="s">
        <v>238</v>
      </c>
      <c r="F10" s="32"/>
    </row>
    <row r="11" spans="2:6" ht="48" customHeight="1" x14ac:dyDescent="0.3">
      <c r="B11" s="2" t="s">
        <v>246</v>
      </c>
      <c r="C11" s="3" t="s">
        <v>247</v>
      </c>
      <c r="D11" s="3" t="s">
        <v>248</v>
      </c>
      <c r="E11" s="33" t="s">
        <v>249</v>
      </c>
      <c r="F11" s="34"/>
    </row>
    <row r="12" spans="2:6" ht="10.050000000000001" customHeight="1" x14ac:dyDescent="0.3"/>
    <row r="13" spans="2:6" ht="25.95" customHeight="1" x14ac:dyDescent="0.3">
      <c r="B13" s="37" t="s">
        <v>250</v>
      </c>
      <c r="C13" s="38"/>
      <c r="D13" s="38"/>
      <c r="E13" s="38"/>
      <c r="F13" s="38"/>
    </row>
    <row r="14" spans="2:6" ht="6" customHeight="1" x14ac:dyDescent="0.3"/>
    <row r="15" spans="2:6" ht="19.95" customHeight="1" x14ac:dyDescent="0.3">
      <c r="B15" s="10" t="s">
        <v>200</v>
      </c>
      <c r="C15" s="49" t="s">
        <v>251</v>
      </c>
      <c r="D15" s="50"/>
      <c r="E15" s="50"/>
      <c r="F15" s="12" t="s">
        <v>252</v>
      </c>
    </row>
    <row r="16" spans="2:6" ht="18" customHeight="1" x14ac:dyDescent="0.3">
      <c r="C16" s="51" t="s">
        <v>203</v>
      </c>
      <c r="D16" s="46"/>
      <c r="E16" s="46"/>
    </row>
    <row r="17" spans="2:6" ht="45.9" customHeight="1" x14ac:dyDescent="0.3">
      <c r="B17" s="10" t="s">
        <v>204</v>
      </c>
      <c r="C17" s="49" t="s">
        <v>253</v>
      </c>
      <c r="D17" s="50"/>
      <c r="E17" s="50"/>
      <c r="F17" s="12" t="s">
        <v>254</v>
      </c>
    </row>
    <row r="18" spans="2:6" ht="18" customHeight="1" x14ac:dyDescent="0.3">
      <c r="C18" s="51" t="s">
        <v>203</v>
      </c>
      <c r="D18" s="46"/>
      <c r="E18" s="46"/>
    </row>
    <row r="19" spans="2:6" ht="32.549999999999997" customHeight="1" x14ac:dyDescent="0.3">
      <c r="B19" s="10" t="s">
        <v>207</v>
      </c>
      <c r="C19" s="49" t="s">
        <v>255</v>
      </c>
      <c r="D19" s="50"/>
      <c r="E19" s="50"/>
      <c r="F19" s="12" t="s">
        <v>256</v>
      </c>
    </row>
    <row r="20" spans="2:6" ht="18" customHeight="1" x14ac:dyDescent="0.3">
      <c r="C20" s="51" t="s">
        <v>203</v>
      </c>
      <c r="D20" s="46"/>
      <c r="E20" s="46"/>
    </row>
    <row r="21" spans="2:6" ht="45.9" customHeight="1" x14ac:dyDescent="0.3">
      <c r="B21" s="10" t="s">
        <v>210</v>
      </c>
      <c r="C21" s="49" t="s">
        <v>257</v>
      </c>
      <c r="D21" s="50"/>
      <c r="E21" s="50"/>
      <c r="F21" s="12" t="s">
        <v>258</v>
      </c>
    </row>
    <row r="22" spans="2:6" ht="18" customHeight="1" x14ac:dyDescent="0.3">
      <c r="C22" s="51" t="s">
        <v>203</v>
      </c>
      <c r="D22" s="46"/>
      <c r="E22" s="46"/>
    </row>
    <row r="23" spans="2:6" ht="32.549999999999997" customHeight="1" x14ac:dyDescent="0.3">
      <c r="B23" s="10" t="s">
        <v>213</v>
      </c>
      <c r="C23" s="49" t="s">
        <v>259</v>
      </c>
      <c r="D23" s="50"/>
      <c r="E23" s="50"/>
      <c r="F23" s="12" t="s">
        <v>260</v>
      </c>
    </row>
    <row r="24" spans="2:6" ht="18" customHeight="1" x14ac:dyDescent="0.3">
      <c r="C24" s="51" t="s">
        <v>203</v>
      </c>
      <c r="D24" s="46"/>
      <c r="E24" s="46"/>
    </row>
    <row r="25" spans="2:6" ht="19.95" customHeight="1" x14ac:dyDescent="0.3">
      <c r="B25" s="10" t="s">
        <v>216</v>
      </c>
      <c r="C25" s="49" t="s">
        <v>261</v>
      </c>
      <c r="D25" s="50"/>
      <c r="E25" s="50"/>
      <c r="F25" s="12" t="s">
        <v>262</v>
      </c>
    </row>
    <row r="26" spans="2:6" ht="18" customHeight="1" x14ac:dyDescent="0.3">
      <c r="C26" s="51" t="s">
        <v>203</v>
      </c>
      <c r="D26" s="46"/>
      <c r="E26" s="46"/>
    </row>
    <row r="27" spans="2:6" ht="19.95" customHeight="1" x14ac:dyDescent="0.3">
      <c r="B27" s="1" t="s">
        <v>263</v>
      </c>
      <c r="C27" s="41" t="s">
        <v>264</v>
      </c>
      <c r="D27" s="42"/>
      <c r="E27" s="41" t="s">
        <v>265</v>
      </c>
      <c r="F27" s="42"/>
    </row>
    <row r="28" spans="2:6" ht="34.049999999999997" customHeight="1" x14ac:dyDescent="0.3">
      <c r="B28" s="2" t="s">
        <v>266</v>
      </c>
      <c r="C28" s="33" t="s">
        <v>267</v>
      </c>
      <c r="D28" s="34"/>
      <c r="E28" s="33" t="s">
        <v>268</v>
      </c>
      <c r="F28" s="34"/>
    </row>
    <row r="29" spans="2:6" ht="34.049999999999997" customHeight="1" x14ac:dyDescent="0.3">
      <c r="B29" s="4" t="s">
        <v>269</v>
      </c>
      <c r="C29" s="31" t="s">
        <v>270</v>
      </c>
      <c r="D29" s="32"/>
      <c r="E29" s="31" t="s">
        <v>271</v>
      </c>
      <c r="F29" s="32"/>
    </row>
    <row r="30" spans="2:6" ht="19.95" customHeight="1" x14ac:dyDescent="0.3">
      <c r="B30" s="2" t="s">
        <v>272</v>
      </c>
      <c r="C30" s="33" t="s">
        <v>273</v>
      </c>
      <c r="D30" s="34"/>
      <c r="E30" s="33" t="s">
        <v>274</v>
      </c>
      <c r="F30" s="34"/>
    </row>
    <row r="31" spans="2:6" ht="6" customHeight="1" x14ac:dyDescent="0.3"/>
    <row r="32" spans="2:6" ht="34.049999999999997" customHeight="1" x14ac:dyDescent="0.3">
      <c r="B32" s="35" t="s">
        <v>275</v>
      </c>
      <c r="C32" s="36"/>
      <c r="D32" s="36"/>
      <c r="E32" s="36"/>
      <c r="F32" s="36"/>
    </row>
    <row r="33" spans="2:6" ht="10.050000000000001" customHeight="1" x14ac:dyDescent="0.3"/>
    <row r="34" spans="2:6" ht="25.95" customHeight="1" x14ac:dyDescent="0.3">
      <c r="B34" s="37" t="s">
        <v>276</v>
      </c>
      <c r="C34" s="38"/>
      <c r="D34" s="38"/>
      <c r="E34" s="38"/>
      <c r="F34" s="38"/>
    </row>
    <row r="35" spans="2:6" ht="6" customHeight="1" x14ac:dyDescent="0.3"/>
    <row r="36" spans="2:6" ht="34.049999999999997" customHeight="1" x14ac:dyDescent="0.3">
      <c r="B36" s="45" t="s">
        <v>277</v>
      </c>
      <c r="C36" s="46"/>
      <c r="D36" s="46"/>
      <c r="E36" s="46"/>
      <c r="F36" s="46"/>
    </row>
    <row r="37" spans="2:6" ht="21.45" customHeight="1" x14ac:dyDescent="0.3">
      <c r="B37" s="13" t="s">
        <v>278</v>
      </c>
      <c r="C37" s="14">
        <v>50</v>
      </c>
      <c r="D37" s="52" t="s">
        <v>279</v>
      </c>
      <c r="E37" s="46"/>
      <c r="F37" s="46"/>
    </row>
    <row r="38" spans="2:6" ht="21.45" customHeight="1" x14ac:dyDescent="0.3">
      <c r="B38" s="13" t="s">
        <v>280</v>
      </c>
      <c r="C38" s="14">
        <v>5</v>
      </c>
      <c r="D38" s="52" t="s">
        <v>281</v>
      </c>
      <c r="E38" s="46"/>
      <c r="F38" s="46"/>
    </row>
    <row r="39" spans="2:6" ht="6" customHeight="1" x14ac:dyDescent="0.3"/>
    <row r="40" spans="2:6" ht="34.049999999999997" customHeight="1" x14ac:dyDescent="0.3">
      <c r="B40" s="1" t="s">
        <v>282</v>
      </c>
      <c r="C40" s="1" t="s">
        <v>283</v>
      </c>
      <c r="D40" s="1" t="s">
        <v>284</v>
      </c>
      <c r="E40" s="1" t="s">
        <v>285</v>
      </c>
      <c r="F40" s="1" t="s">
        <v>286</v>
      </c>
    </row>
    <row r="41" spans="2:6" ht="34.049999999999997" customHeight="1" x14ac:dyDescent="0.3">
      <c r="B41" s="15">
        <v>1</v>
      </c>
      <c r="C41" s="8">
        <f t="shared" ref="C41:C50" si="0">MIN(200,MAX(3,ROUNDUP($C$37/100*B41,0)))</f>
        <v>3</v>
      </c>
      <c r="D41" s="8">
        <f t="shared" ref="D41:D50" si="1">ROUNDUP($C$37/100*B41,0)</f>
        <v>1</v>
      </c>
      <c r="E41" s="8">
        <f t="shared" ref="E41:E50" si="2">$C$38</f>
        <v>5</v>
      </c>
      <c r="F41" s="3" t="s">
        <v>287</v>
      </c>
    </row>
    <row r="42" spans="2:6" ht="19.95" customHeight="1" x14ac:dyDescent="0.3">
      <c r="B42" s="16">
        <v>2</v>
      </c>
      <c r="C42" s="9">
        <f t="shared" si="0"/>
        <v>3</v>
      </c>
      <c r="D42" s="9">
        <f t="shared" si="1"/>
        <v>1</v>
      </c>
      <c r="E42" s="9">
        <f t="shared" si="2"/>
        <v>5</v>
      </c>
      <c r="F42" s="5" t="s">
        <v>288</v>
      </c>
    </row>
    <row r="43" spans="2:6" ht="19.95" customHeight="1" x14ac:dyDescent="0.3">
      <c r="B43" s="15">
        <v>3</v>
      </c>
      <c r="C43" s="8">
        <f t="shared" si="0"/>
        <v>3</v>
      </c>
      <c r="D43" s="8">
        <f t="shared" si="1"/>
        <v>2</v>
      </c>
      <c r="E43" s="8">
        <f t="shared" si="2"/>
        <v>5</v>
      </c>
      <c r="F43" s="3" t="s">
        <v>289</v>
      </c>
    </row>
    <row r="44" spans="2:6" ht="19.95" customHeight="1" x14ac:dyDescent="0.3">
      <c r="B44" s="16">
        <v>4</v>
      </c>
      <c r="C44" s="9">
        <f t="shared" si="0"/>
        <v>3</v>
      </c>
      <c r="D44" s="9">
        <f t="shared" si="1"/>
        <v>2</v>
      </c>
      <c r="E44" s="9">
        <f t="shared" si="2"/>
        <v>5</v>
      </c>
      <c r="F44" s="5" t="s">
        <v>290</v>
      </c>
    </row>
    <row r="45" spans="2:6" ht="19.95" customHeight="1" x14ac:dyDescent="0.3">
      <c r="B45" s="15">
        <v>6</v>
      </c>
      <c r="C45" s="8">
        <f t="shared" si="0"/>
        <v>3</v>
      </c>
      <c r="D45" s="8">
        <f t="shared" si="1"/>
        <v>3</v>
      </c>
      <c r="E45" s="8">
        <f t="shared" si="2"/>
        <v>5</v>
      </c>
      <c r="F45" s="3" t="s">
        <v>291</v>
      </c>
    </row>
    <row r="46" spans="2:6" ht="19.95" customHeight="1" x14ac:dyDescent="0.3">
      <c r="B46" s="16">
        <v>10</v>
      </c>
      <c r="C46" s="9">
        <f t="shared" si="0"/>
        <v>5</v>
      </c>
      <c r="D46" s="9">
        <f t="shared" si="1"/>
        <v>5</v>
      </c>
      <c r="E46" s="9">
        <f t="shared" si="2"/>
        <v>5</v>
      </c>
      <c r="F46" s="5" t="s">
        <v>292</v>
      </c>
    </row>
    <row r="47" spans="2:6" ht="34.049999999999997" customHeight="1" x14ac:dyDescent="0.3">
      <c r="B47" s="15">
        <v>25</v>
      </c>
      <c r="C47" s="8">
        <f t="shared" si="0"/>
        <v>13</v>
      </c>
      <c r="D47" s="8">
        <f t="shared" si="1"/>
        <v>13</v>
      </c>
      <c r="E47" s="8">
        <f t="shared" si="2"/>
        <v>5</v>
      </c>
      <c r="F47" s="3" t="s">
        <v>293</v>
      </c>
    </row>
    <row r="48" spans="2:6" ht="19.95" customHeight="1" x14ac:dyDescent="0.3">
      <c r="B48" s="16">
        <v>100</v>
      </c>
      <c r="C48" s="9">
        <f t="shared" si="0"/>
        <v>50</v>
      </c>
      <c r="D48" s="9">
        <f t="shared" si="1"/>
        <v>50</v>
      </c>
      <c r="E48" s="9">
        <f t="shared" si="2"/>
        <v>5</v>
      </c>
      <c r="F48" s="5" t="s">
        <v>294</v>
      </c>
    </row>
    <row r="49" spans="2:6" ht="19.95" customHeight="1" x14ac:dyDescent="0.3">
      <c r="B49" s="15">
        <v>400</v>
      </c>
      <c r="C49" s="8">
        <f t="shared" si="0"/>
        <v>200</v>
      </c>
      <c r="D49" s="8">
        <f t="shared" si="1"/>
        <v>200</v>
      </c>
      <c r="E49" s="8">
        <f t="shared" si="2"/>
        <v>5</v>
      </c>
      <c r="F49" s="3" t="s">
        <v>295</v>
      </c>
    </row>
    <row r="50" spans="2:6" ht="19.95" customHeight="1" x14ac:dyDescent="0.3">
      <c r="B50" s="16">
        <v>800</v>
      </c>
      <c r="C50" s="9">
        <f t="shared" si="0"/>
        <v>200</v>
      </c>
      <c r="D50" s="9">
        <f t="shared" si="1"/>
        <v>400</v>
      </c>
      <c r="E50" s="9">
        <f t="shared" si="2"/>
        <v>5</v>
      </c>
      <c r="F50" s="5" t="s">
        <v>296</v>
      </c>
    </row>
    <row r="51" spans="2:6" ht="19.95" customHeight="1" x14ac:dyDescent="0.3">
      <c r="B51" s="53" t="s">
        <v>297</v>
      </c>
      <c r="C51" s="46"/>
      <c r="D51" s="46"/>
      <c r="E51" s="46"/>
      <c r="F51" s="46"/>
    </row>
    <row r="52" spans="2:6" ht="10.050000000000001" customHeight="1" x14ac:dyDescent="0.3"/>
    <row r="53" spans="2:6" ht="25.95" customHeight="1" x14ac:dyDescent="0.3">
      <c r="B53" s="37" t="s">
        <v>298</v>
      </c>
      <c r="C53" s="38"/>
      <c r="D53" s="38"/>
      <c r="E53" s="38"/>
      <c r="F53" s="38"/>
    </row>
    <row r="54" spans="2:6" ht="6" customHeight="1" x14ac:dyDescent="0.3"/>
    <row r="55" spans="2:6" ht="19.95" customHeight="1" x14ac:dyDescent="0.3">
      <c r="B55" s="1" t="s">
        <v>299</v>
      </c>
      <c r="C55" s="41" t="s">
        <v>300</v>
      </c>
      <c r="D55" s="42"/>
      <c r="E55" s="41" t="s">
        <v>301</v>
      </c>
      <c r="F55" s="42"/>
    </row>
    <row r="56" spans="2:6" ht="34.049999999999997" customHeight="1" x14ac:dyDescent="0.3">
      <c r="B56" s="2" t="s">
        <v>302</v>
      </c>
      <c r="C56" s="33" t="s">
        <v>303</v>
      </c>
      <c r="D56" s="34"/>
      <c r="E56" s="33" t="s">
        <v>304</v>
      </c>
      <c r="F56" s="34"/>
    </row>
    <row r="57" spans="2:6" ht="34.049999999999997" customHeight="1" x14ac:dyDescent="0.3">
      <c r="B57" s="4" t="s">
        <v>305</v>
      </c>
      <c r="C57" s="31" t="s">
        <v>306</v>
      </c>
      <c r="D57" s="32"/>
      <c r="E57" s="31" t="s">
        <v>307</v>
      </c>
      <c r="F57" s="32"/>
    </row>
    <row r="58" spans="2:6" ht="10.050000000000001" customHeight="1" x14ac:dyDescent="0.3"/>
    <row r="59" spans="2:6" ht="25.95" customHeight="1" x14ac:dyDescent="0.3">
      <c r="B59" s="37" t="s">
        <v>308</v>
      </c>
      <c r="C59" s="38"/>
      <c r="D59" s="38"/>
      <c r="E59" s="38"/>
      <c r="F59" s="38"/>
    </row>
    <row r="60" spans="2:6" ht="6" customHeight="1" x14ac:dyDescent="0.3"/>
    <row r="61" spans="2:6" ht="34.049999999999997" customHeight="1" x14ac:dyDescent="0.3">
      <c r="B61" s="1" t="s">
        <v>309</v>
      </c>
      <c r="C61" s="1" t="s">
        <v>310</v>
      </c>
      <c r="D61" s="1" t="s">
        <v>311</v>
      </c>
      <c r="E61" s="41" t="s">
        <v>312</v>
      </c>
      <c r="F61" s="42"/>
    </row>
    <row r="62" spans="2:6" ht="19.95" customHeight="1" x14ac:dyDescent="0.3">
      <c r="B62" s="2" t="s">
        <v>313</v>
      </c>
      <c r="C62" s="3" t="s">
        <v>314</v>
      </c>
      <c r="D62" s="3" t="s">
        <v>315</v>
      </c>
      <c r="E62" s="33" t="s">
        <v>316</v>
      </c>
      <c r="F62" s="34"/>
    </row>
    <row r="63" spans="2:6" ht="19.95" customHeight="1" x14ac:dyDescent="0.3">
      <c r="B63" s="4" t="s">
        <v>317</v>
      </c>
      <c r="C63" s="5" t="s">
        <v>318</v>
      </c>
      <c r="D63" s="5" t="s">
        <v>319</v>
      </c>
      <c r="E63" s="31" t="s">
        <v>320</v>
      </c>
      <c r="F63" s="32"/>
    </row>
    <row r="64" spans="2:6" ht="48" customHeight="1" x14ac:dyDescent="0.3">
      <c r="B64" s="2" t="s">
        <v>321</v>
      </c>
      <c r="C64" s="3" t="s">
        <v>322</v>
      </c>
      <c r="D64" s="3" t="s">
        <v>323</v>
      </c>
      <c r="E64" s="33" t="s">
        <v>324</v>
      </c>
      <c r="F64" s="34"/>
    </row>
    <row r="65" spans="2:6" ht="34.049999999999997" customHeight="1" x14ac:dyDescent="0.3">
      <c r="B65" s="4" t="s">
        <v>325</v>
      </c>
      <c r="C65" s="5" t="s">
        <v>326</v>
      </c>
      <c r="D65" s="5" t="s">
        <v>271</v>
      </c>
      <c r="E65" s="31" t="s">
        <v>327</v>
      </c>
      <c r="F65" s="32"/>
    </row>
    <row r="66" spans="2:6" ht="34.049999999999997" customHeight="1" x14ac:dyDescent="0.3">
      <c r="B66" s="2" t="s">
        <v>328</v>
      </c>
      <c r="C66" s="3" t="s">
        <v>329</v>
      </c>
      <c r="D66" s="3" t="s">
        <v>330</v>
      </c>
      <c r="E66" s="33" t="s">
        <v>331</v>
      </c>
      <c r="F66" s="34"/>
    </row>
    <row r="67" spans="2:6" ht="34.049999999999997" customHeight="1" x14ac:dyDescent="0.3">
      <c r="B67" s="4" t="s">
        <v>332</v>
      </c>
      <c r="C67" s="5" t="s">
        <v>333</v>
      </c>
      <c r="D67" s="5" t="s">
        <v>271</v>
      </c>
      <c r="E67" s="31" t="s">
        <v>334</v>
      </c>
      <c r="F67" s="32"/>
    </row>
    <row r="68" spans="2:6" ht="10.050000000000001" customHeight="1" x14ac:dyDescent="0.3"/>
    <row r="69" spans="2:6" ht="25.95" customHeight="1" x14ac:dyDescent="0.3">
      <c r="B69" s="37" t="s">
        <v>335</v>
      </c>
      <c r="C69" s="38"/>
      <c r="D69" s="38"/>
      <c r="E69" s="38"/>
      <c r="F69" s="38"/>
    </row>
    <row r="70" spans="2:6" ht="6" customHeight="1" x14ac:dyDescent="0.3"/>
    <row r="71" spans="2:6" ht="19.95" customHeight="1" x14ac:dyDescent="0.3">
      <c r="B71" s="1" t="s">
        <v>336</v>
      </c>
      <c r="C71" s="1" t="s">
        <v>9</v>
      </c>
      <c r="D71" s="41" t="s">
        <v>312</v>
      </c>
      <c r="E71" s="42"/>
      <c r="F71" s="42"/>
    </row>
    <row r="72" spans="2:6" ht="34.049999999999997" customHeight="1" x14ac:dyDescent="0.3">
      <c r="B72" s="17" t="s">
        <v>337</v>
      </c>
      <c r="C72" s="3" t="s">
        <v>338</v>
      </c>
      <c r="D72" s="33" t="s">
        <v>339</v>
      </c>
      <c r="E72" s="34"/>
      <c r="F72" s="34"/>
    </row>
    <row r="73" spans="2:6" ht="19.95" customHeight="1" x14ac:dyDescent="0.3">
      <c r="B73" s="17" t="s">
        <v>337</v>
      </c>
      <c r="C73" s="3" t="s">
        <v>340</v>
      </c>
      <c r="D73" s="33" t="s">
        <v>341</v>
      </c>
      <c r="E73" s="34"/>
      <c r="F73" s="34"/>
    </row>
    <row r="74" spans="2:6" ht="34.049999999999997" customHeight="1" x14ac:dyDescent="0.3">
      <c r="B74" s="17" t="s">
        <v>337</v>
      </c>
      <c r="C74" s="3" t="s">
        <v>342</v>
      </c>
      <c r="D74" s="33" t="s">
        <v>343</v>
      </c>
      <c r="E74" s="34"/>
      <c r="F74" s="34"/>
    </row>
    <row r="75" spans="2:6" ht="34.049999999999997" customHeight="1" x14ac:dyDescent="0.3">
      <c r="B75" s="2" t="s">
        <v>344</v>
      </c>
      <c r="C75" s="3" t="s">
        <v>345</v>
      </c>
      <c r="D75" s="33" t="s">
        <v>346</v>
      </c>
      <c r="E75" s="34"/>
      <c r="F75" s="34"/>
    </row>
    <row r="76" spans="2:6" ht="19.95" customHeight="1" x14ac:dyDescent="0.3">
      <c r="B76" s="2" t="s">
        <v>344</v>
      </c>
      <c r="C76" s="3" t="s">
        <v>347</v>
      </c>
      <c r="D76" s="33" t="s">
        <v>348</v>
      </c>
      <c r="E76" s="34"/>
      <c r="F76" s="34"/>
    </row>
    <row r="77" spans="2:6" ht="19.95" customHeight="1" x14ac:dyDescent="0.3">
      <c r="B77" s="2" t="s">
        <v>344</v>
      </c>
      <c r="C77" s="3" t="s">
        <v>349</v>
      </c>
      <c r="D77" s="33" t="s">
        <v>350</v>
      </c>
      <c r="E77" s="34"/>
      <c r="F77" s="34"/>
    </row>
  </sheetData>
  <mergeCells count="59">
    <mergeCell ref="D77:F77"/>
    <mergeCell ref="C25:E25"/>
    <mergeCell ref="B1:F1"/>
    <mergeCell ref="E9:F9"/>
    <mergeCell ref="C56:D56"/>
    <mergeCell ref="B13:F13"/>
    <mergeCell ref="E56:F56"/>
    <mergeCell ref="B53:F53"/>
    <mergeCell ref="D38:F38"/>
    <mergeCell ref="E6:F6"/>
    <mergeCell ref="E30:F30"/>
    <mergeCell ref="C19:E19"/>
    <mergeCell ref="B34:F34"/>
    <mergeCell ref="C27:D27"/>
    <mergeCell ref="E11:F11"/>
    <mergeCell ref="C18:E18"/>
    <mergeCell ref="E27:F27"/>
    <mergeCell ref="C15:E15"/>
    <mergeCell ref="E63:F63"/>
    <mergeCell ref="C55:D55"/>
    <mergeCell ref="E28:F28"/>
    <mergeCell ref="C17:E17"/>
    <mergeCell ref="D74:F74"/>
    <mergeCell ref="E65:F65"/>
    <mergeCell ref="D73:F73"/>
    <mergeCell ref="B69:F69"/>
    <mergeCell ref="E61:F61"/>
    <mergeCell ref="C24:E24"/>
    <mergeCell ref="E57:F57"/>
    <mergeCell ref="C57:D57"/>
    <mergeCell ref="B51:F51"/>
    <mergeCell ref="C28:D28"/>
    <mergeCell ref="C26:E26"/>
    <mergeCell ref="E66:F66"/>
    <mergeCell ref="B2:F2"/>
    <mergeCell ref="E10:F10"/>
    <mergeCell ref="E29:F29"/>
    <mergeCell ref="D37:F37"/>
    <mergeCell ref="C23:E23"/>
    <mergeCell ref="E7:F7"/>
    <mergeCell ref="B36:F36"/>
    <mergeCell ref="B32:F32"/>
    <mergeCell ref="C20:E20"/>
    <mergeCell ref="B4:F4"/>
    <mergeCell ref="C16:E16"/>
    <mergeCell ref="D76:F76"/>
    <mergeCell ref="C30:D30"/>
    <mergeCell ref="E55:F55"/>
    <mergeCell ref="E62:F62"/>
    <mergeCell ref="C22:E22"/>
    <mergeCell ref="B59:F59"/>
    <mergeCell ref="E67:F67"/>
    <mergeCell ref="D75:F75"/>
    <mergeCell ref="C21:E21"/>
    <mergeCell ref="E8:F8"/>
    <mergeCell ref="E64:F64"/>
    <mergeCell ref="D72:F72"/>
    <mergeCell ref="C29:D29"/>
    <mergeCell ref="D71:F71"/>
  </mergeCells>
  <phoneticPr fontId="15"/>
  <printOptions horizontalCentered="1"/>
  <pageMargins left="0.4" right="0.4" top="0.5" bottom="0.5" header="0.5" footer="0.5"/>
  <pageSetup paperSize="9" fitToHeight="0" orientation="landscape"/>
  <headerFooter>
    <oddFooter>&amp;C&amp;"Meiryo UI"&amp;P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04040"/>
    <pageSetUpPr fitToPage="1"/>
  </sheetPr>
  <dimension ref="B1:J40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" customWidth="1"/>
    <col min="2" max="2" width="21" customWidth="1"/>
    <col min="3" max="10" width="15" customWidth="1"/>
    <col min="11" max="11" width="13" customWidth="1"/>
  </cols>
  <sheetData>
    <row r="1" spans="2:10" ht="37.950000000000003" customHeight="1" x14ac:dyDescent="0.3">
      <c r="B1" s="43" t="s">
        <v>351</v>
      </c>
      <c r="C1" s="44"/>
      <c r="D1" s="44"/>
      <c r="E1" s="44"/>
      <c r="F1" s="44"/>
      <c r="G1" s="44"/>
      <c r="H1" s="44"/>
      <c r="I1" s="44"/>
      <c r="J1" s="44"/>
    </row>
    <row r="2" spans="2:10" ht="19.95" customHeight="1" x14ac:dyDescent="0.3">
      <c r="B2" s="39" t="s">
        <v>352</v>
      </c>
      <c r="C2" s="40"/>
      <c r="D2" s="40"/>
      <c r="E2" s="40"/>
      <c r="F2" s="40"/>
      <c r="G2" s="40"/>
      <c r="H2" s="40"/>
      <c r="I2" s="40"/>
      <c r="J2" s="40"/>
    </row>
    <row r="3" spans="2:10" ht="7.95" customHeight="1" x14ac:dyDescent="0.3"/>
    <row r="4" spans="2:10" ht="25.95" customHeight="1" x14ac:dyDescent="0.3">
      <c r="B4" s="37" t="s">
        <v>353</v>
      </c>
      <c r="C4" s="38"/>
      <c r="D4" s="38"/>
      <c r="E4" s="38"/>
      <c r="F4" s="38"/>
      <c r="G4" s="38"/>
      <c r="H4" s="38"/>
      <c r="I4" s="38"/>
      <c r="J4" s="38"/>
    </row>
    <row r="5" spans="2:10" ht="6" customHeight="1" x14ac:dyDescent="0.3"/>
    <row r="6" spans="2:10" ht="34.049999999999997" customHeight="1" x14ac:dyDescent="0.3">
      <c r="B6" s="1" t="s">
        <v>354</v>
      </c>
      <c r="C6" s="41" t="s">
        <v>355</v>
      </c>
      <c r="D6" s="42"/>
      <c r="E6" s="41" t="s">
        <v>356</v>
      </c>
      <c r="F6" s="42"/>
      <c r="G6" s="1" t="s">
        <v>357</v>
      </c>
      <c r="H6" s="1" t="s">
        <v>272</v>
      </c>
      <c r="I6" s="1" t="s">
        <v>358</v>
      </c>
      <c r="J6" s="1" t="s">
        <v>359</v>
      </c>
    </row>
    <row r="7" spans="2:10" ht="34.049999999999997" customHeight="1" x14ac:dyDescent="0.3">
      <c r="B7" s="15" t="s">
        <v>360</v>
      </c>
      <c r="C7" s="33" t="s">
        <v>361</v>
      </c>
      <c r="D7" s="34"/>
      <c r="E7" s="33" t="s">
        <v>362</v>
      </c>
      <c r="F7" s="34"/>
      <c r="G7" s="3" t="s">
        <v>363</v>
      </c>
      <c r="H7" s="3" t="s">
        <v>364</v>
      </c>
      <c r="I7" s="3" t="s">
        <v>318</v>
      </c>
      <c r="J7" s="3" t="s">
        <v>365</v>
      </c>
    </row>
    <row r="8" spans="2:10" ht="34.049999999999997" customHeight="1" x14ac:dyDescent="0.3">
      <c r="B8" s="16" t="s">
        <v>366</v>
      </c>
      <c r="C8" s="31" t="s">
        <v>201</v>
      </c>
      <c r="D8" s="32"/>
      <c r="E8" s="31" t="s">
        <v>367</v>
      </c>
      <c r="F8" s="32"/>
      <c r="G8" s="5" t="s">
        <v>368</v>
      </c>
      <c r="H8" s="5" t="s">
        <v>364</v>
      </c>
      <c r="I8" s="5" t="s">
        <v>238</v>
      </c>
      <c r="J8" s="5" t="s">
        <v>238</v>
      </c>
    </row>
    <row r="9" spans="2:10" ht="48" customHeight="1" x14ac:dyDescent="0.3">
      <c r="B9" s="15" t="s">
        <v>369</v>
      </c>
      <c r="C9" s="33" t="s">
        <v>370</v>
      </c>
      <c r="D9" s="34"/>
      <c r="E9" s="33" t="s">
        <v>371</v>
      </c>
      <c r="F9" s="34"/>
      <c r="G9" s="3" t="s">
        <v>368</v>
      </c>
      <c r="H9" s="3" t="s">
        <v>372</v>
      </c>
      <c r="I9" s="3" t="s">
        <v>314</v>
      </c>
      <c r="J9" s="3" t="s">
        <v>373</v>
      </c>
    </row>
    <row r="10" spans="2:10" ht="48" customHeight="1" x14ac:dyDescent="0.3">
      <c r="B10" s="16" t="s">
        <v>374</v>
      </c>
      <c r="C10" s="31" t="s">
        <v>375</v>
      </c>
      <c r="D10" s="32"/>
      <c r="E10" s="31" t="s">
        <v>376</v>
      </c>
      <c r="F10" s="32"/>
      <c r="G10" s="5" t="s">
        <v>377</v>
      </c>
      <c r="H10" s="5" t="s">
        <v>364</v>
      </c>
      <c r="I10" s="5" t="s">
        <v>378</v>
      </c>
      <c r="J10" s="5" t="s">
        <v>379</v>
      </c>
    </row>
    <row r="11" spans="2:10" ht="48" customHeight="1" x14ac:dyDescent="0.3">
      <c r="B11" s="15" t="s">
        <v>380</v>
      </c>
      <c r="C11" s="33" t="s">
        <v>381</v>
      </c>
      <c r="D11" s="34"/>
      <c r="E11" s="33" t="s">
        <v>382</v>
      </c>
      <c r="F11" s="34"/>
      <c r="G11" s="3" t="s">
        <v>383</v>
      </c>
      <c r="H11" s="3" t="s">
        <v>364</v>
      </c>
      <c r="I11" s="3" t="s">
        <v>238</v>
      </c>
      <c r="J11" s="3" t="s">
        <v>384</v>
      </c>
    </row>
    <row r="12" spans="2:10" ht="48" customHeight="1" x14ac:dyDescent="0.3">
      <c r="B12" s="16" t="s">
        <v>385</v>
      </c>
      <c r="C12" s="31" t="s">
        <v>386</v>
      </c>
      <c r="D12" s="32"/>
      <c r="E12" s="31" t="s">
        <v>387</v>
      </c>
      <c r="F12" s="32"/>
      <c r="G12" s="5" t="s">
        <v>383</v>
      </c>
      <c r="H12" s="5" t="s">
        <v>388</v>
      </c>
      <c r="I12" s="5" t="s">
        <v>389</v>
      </c>
      <c r="J12" s="5" t="s">
        <v>390</v>
      </c>
    </row>
    <row r="13" spans="2:10" ht="48" customHeight="1" x14ac:dyDescent="0.3">
      <c r="B13" s="15" t="s">
        <v>391</v>
      </c>
      <c r="C13" s="33" t="s">
        <v>375</v>
      </c>
      <c r="D13" s="34"/>
      <c r="E13" s="33" t="s">
        <v>392</v>
      </c>
      <c r="F13" s="34"/>
      <c r="G13" s="3" t="s">
        <v>383</v>
      </c>
      <c r="H13" s="3" t="s">
        <v>364</v>
      </c>
      <c r="I13" s="3" t="s">
        <v>393</v>
      </c>
      <c r="J13" s="3" t="s">
        <v>394</v>
      </c>
    </row>
    <row r="14" spans="2:10" ht="61.95" customHeight="1" x14ac:dyDescent="0.3">
      <c r="B14" s="18" t="s">
        <v>395</v>
      </c>
      <c r="C14" s="54" t="s">
        <v>396</v>
      </c>
      <c r="D14" s="55"/>
      <c r="E14" s="54" t="s">
        <v>397</v>
      </c>
      <c r="F14" s="55"/>
      <c r="G14" s="19" t="s">
        <v>398</v>
      </c>
      <c r="H14" s="17" t="s">
        <v>399</v>
      </c>
      <c r="I14" s="19" t="s">
        <v>318</v>
      </c>
      <c r="J14" s="17" t="s">
        <v>400</v>
      </c>
    </row>
    <row r="15" spans="2:10" ht="10.050000000000001" customHeight="1" x14ac:dyDescent="0.3"/>
    <row r="16" spans="2:10" ht="25.95" customHeight="1" x14ac:dyDescent="0.3">
      <c r="B16" s="37" t="s">
        <v>401</v>
      </c>
      <c r="C16" s="38"/>
      <c r="D16" s="38"/>
      <c r="E16" s="38"/>
      <c r="F16" s="38"/>
      <c r="G16" s="38"/>
      <c r="H16" s="38"/>
      <c r="I16" s="38"/>
      <c r="J16" s="38"/>
    </row>
    <row r="17" spans="2:10" ht="6" customHeight="1" x14ac:dyDescent="0.3"/>
    <row r="18" spans="2:10" ht="32.549999999999997" customHeight="1" x14ac:dyDescent="0.3">
      <c r="B18" s="56" t="s">
        <v>402</v>
      </c>
      <c r="C18" s="32"/>
      <c r="D18" s="32"/>
      <c r="E18" s="32"/>
      <c r="F18" s="32"/>
      <c r="G18" s="32"/>
      <c r="H18" s="32"/>
      <c r="I18" s="32"/>
      <c r="J18" s="32"/>
    </row>
    <row r="19" spans="2:10" ht="6" customHeight="1" x14ac:dyDescent="0.3"/>
    <row r="20" spans="2:10" ht="19.95" customHeight="1" x14ac:dyDescent="0.3">
      <c r="B20" s="1" t="s">
        <v>403</v>
      </c>
      <c r="C20" s="1" t="s">
        <v>360</v>
      </c>
      <c r="D20" s="1" t="s">
        <v>366</v>
      </c>
      <c r="E20" s="1" t="s">
        <v>369</v>
      </c>
      <c r="F20" s="1" t="s">
        <v>374</v>
      </c>
      <c r="G20" s="1" t="s">
        <v>380</v>
      </c>
      <c r="H20" s="1" t="s">
        <v>385</v>
      </c>
      <c r="I20" s="1" t="s">
        <v>391</v>
      </c>
      <c r="J20" s="1" t="s">
        <v>395</v>
      </c>
    </row>
    <row r="21" spans="2:10" ht="43.95" customHeight="1" x14ac:dyDescent="0.3">
      <c r="B21" s="20" t="s">
        <v>404</v>
      </c>
      <c r="C21" s="21" t="s">
        <v>405</v>
      </c>
      <c r="D21" s="21" t="s">
        <v>405</v>
      </c>
      <c r="E21" s="21" t="s">
        <v>405</v>
      </c>
      <c r="F21" s="21" t="s">
        <v>405</v>
      </c>
      <c r="G21" s="21" t="s">
        <v>405</v>
      </c>
      <c r="H21" s="21" t="s">
        <v>405</v>
      </c>
      <c r="I21" s="21" t="s">
        <v>405</v>
      </c>
      <c r="J21" s="22" t="s">
        <v>406</v>
      </c>
    </row>
    <row r="22" spans="2:10" ht="43.95" customHeight="1" x14ac:dyDescent="0.3">
      <c r="B22" s="20" t="s">
        <v>407</v>
      </c>
      <c r="C22" s="22"/>
      <c r="D22" s="22" t="s">
        <v>406</v>
      </c>
      <c r="E22" s="23" t="s">
        <v>408</v>
      </c>
      <c r="F22" s="24" t="s">
        <v>409</v>
      </c>
      <c r="G22" s="22" t="s">
        <v>406</v>
      </c>
      <c r="H22" s="22" t="s">
        <v>406</v>
      </c>
      <c r="I22" s="22" t="s">
        <v>406</v>
      </c>
      <c r="J22" s="22" t="s">
        <v>406</v>
      </c>
    </row>
    <row r="23" spans="2:10" ht="43.95" customHeight="1" x14ac:dyDescent="0.3">
      <c r="B23" s="20" t="s">
        <v>410</v>
      </c>
      <c r="C23" s="22"/>
      <c r="D23" s="22"/>
      <c r="E23" s="22"/>
      <c r="F23" s="22"/>
      <c r="G23" s="22" t="s">
        <v>406</v>
      </c>
      <c r="H23" s="23" t="s">
        <v>408</v>
      </c>
      <c r="I23" s="24" t="s">
        <v>409</v>
      </c>
      <c r="J23" s="22" t="s">
        <v>406</v>
      </c>
    </row>
    <row r="24" spans="2:10" ht="43.95" customHeight="1" x14ac:dyDescent="0.3">
      <c r="B24" s="20" t="s">
        <v>411</v>
      </c>
      <c r="C24" s="22"/>
      <c r="D24" s="22"/>
      <c r="E24" s="22"/>
      <c r="F24" s="22"/>
      <c r="G24" s="22"/>
      <c r="H24" s="22"/>
      <c r="I24" s="22"/>
      <c r="J24" s="21" t="s">
        <v>405</v>
      </c>
    </row>
    <row r="25" spans="2:10" ht="34.049999999999997" customHeight="1" x14ac:dyDescent="0.3">
      <c r="B25" s="25" t="s">
        <v>412</v>
      </c>
      <c r="C25" s="13" t="s">
        <v>364</v>
      </c>
      <c r="D25" s="13" t="s">
        <v>364</v>
      </c>
      <c r="E25" s="13" t="s">
        <v>413</v>
      </c>
      <c r="F25" s="13" t="s">
        <v>364</v>
      </c>
      <c r="G25" s="13" t="s">
        <v>364</v>
      </c>
      <c r="H25" s="13" t="s">
        <v>414</v>
      </c>
      <c r="I25" s="13" t="s">
        <v>364</v>
      </c>
      <c r="J25" s="13" t="s">
        <v>399</v>
      </c>
    </row>
    <row r="26" spans="2:10" ht="32.549999999999997" customHeight="1" x14ac:dyDescent="0.3">
      <c r="B26" s="25" t="s">
        <v>415</v>
      </c>
      <c r="C26" s="26" t="s">
        <v>416</v>
      </c>
      <c r="D26" s="26" t="s">
        <v>417</v>
      </c>
      <c r="E26" s="26" t="s">
        <v>418</v>
      </c>
      <c r="F26" s="26" t="s">
        <v>419</v>
      </c>
      <c r="G26" s="26" t="s">
        <v>420</v>
      </c>
      <c r="H26" s="26" t="s">
        <v>421</v>
      </c>
      <c r="I26" s="26" t="s">
        <v>419</v>
      </c>
      <c r="J26" s="26" t="s">
        <v>422</v>
      </c>
    </row>
    <row r="27" spans="2:10" ht="6" customHeight="1" x14ac:dyDescent="0.3"/>
    <row r="28" spans="2:10" ht="34.049999999999997" customHeight="1" x14ac:dyDescent="0.3">
      <c r="B28" s="35" t="s">
        <v>423</v>
      </c>
      <c r="C28" s="36"/>
      <c r="D28" s="36"/>
      <c r="E28" s="36"/>
      <c r="F28" s="36"/>
      <c r="G28" s="36"/>
      <c r="H28" s="36"/>
      <c r="I28" s="36"/>
      <c r="J28" s="36"/>
    </row>
    <row r="29" spans="2:10" ht="10.050000000000001" customHeight="1" x14ac:dyDescent="0.3"/>
    <row r="30" spans="2:10" ht="25.95" customHeight="1" x14ac:dyDescent="0.3">
      <c r="B30" s="37" t="s">
        <v>424</v>
      </c>
      <c r="C30" s="38"/>
      <c r="D30" s="38"/>
      <c r="E30" s="38"/>
      <c r="F30" s="38"/>
      <c r="G30" s="38"/>
      <c r="H30" s="38"/>
      <c r="I30" s="38"/>
      <c r="J30" s="38"/>
    </row>
    <row r="31" spans="2:10" ht="6" customHeight="1" x14ac:dyDescent="0.3"/>
    <row r="32" spans="2:10" ht="19.95" customHeight="1" x14ac:dyDescent="0.3">
      <c r="B32" s="53" t="s">
        <v>425</v>
      </c>
      <c r="C32" s="46"/>
      <c r="D32" s="46"/>
      <c r="E32" s="46"/>
      <c r="F32" s="46"/>
      <c r="G32" s="46"/>
      <c r="H32" s="46"/>
      <c r="I32" s="46"/>
      <c r="J32" s="46"/>
    </row>
    <row r="33" spans="2:10" ht="34.049999999999997" customHeight="1" x14ac:dyDescent="0.3">
      <c r="B33" s="1" t="s">
        <v>426</v>
      </c>
      <c r="C33" s="1" t="s">
        <v>427</v>
      </c>
      <c r="D33" s="41" t="s">
        <v>428</v>
      </c>
      <c r="E33" s="42"/>
      <c r="F33" s="1" t="s">
        <v>429</v>
      </c>
      <c r="G33" s="1" t="s">
        <v>144</v>
      </c>
      <c r="H33" s="41" t="s">
        <v>430</v>
      </c>
      <c r="I33" s="42"/>
      <c r="J33" s="42"/>
    </row>
    <row r="34" spans="2:10" ht="34.049999999999997" customHeight="1" x14ac:dyDescent="0.3">
      <c r="B34" s="2" t="s">
        <v>431</v>
      </c>
      <c r="C34" s="8" t="s">
        <v>432</v>
      </c>
      <c r="D34" s="33" t="s">
        <v>433</v>
      </c>
      <c r="E34" s="34"/>
      <c r="F34" s="8" t="s">
        <v>433</v>
      </c>
      <c r="G34" s="8" t="s">
        <v>76</v>
      </c>
      <c r="H34" s="33" t="s">
        <v>434</v>
      </c>
      <c r="I34" s="34"/>
      <c r="J34" s="34"/>
    </row>
    <row r="35" spans="2:10" ht="34.049999999999997" customHeight="1" x14ac:dyDescent="0.3">
      <c r="B35" s="4" t="s">
        <v>435</v>
      </c>
      <c r="C35" s="9" t="s">
        <v>71</v>
      </c>
      <c r="D35" s="31" t="s">
        <v>436</v>
      </c>
      <c r="E35" s="32"/>
      <c r="F35" s="9" t="s">
        <v>66</v>
      </c>
      <c r="G35" s="9" t="s">
        <v>76</v>
      </c>
      <c r="H35" s="31" t="s">
        <v>437</v>
      </c>
      <c r="I35" s="32"/>
      <c r="J35" s="32"/>
    </row>
    <row r="36" spans="2:10" ht="34.049999999999997" customHeight="1" x14ac:dyDescent="0.3">
      <c r="B36" s="2" t="s">
        <v>438</v>
      </c>
      <c r="C36" s="8" t="s">
        <v>71</v>
      </c>
      <c r="D36" s="33" t="s">
        <v>439</v>
      </c>
      <c r="E36" s="34"/>
      <c r="F36" s="8" t="s">
        <v>71</v>
      </c>
      <c r="G36" s="8" t="s">
        <v>76</v>
      </c>
      <c r="H36" s="33" t="s">
        <v>440</v>
      </c>
      <c r="I36" s="34"/>
      <c r="J36" s="34"/>
    </row>
    <row r="37" spans="2:10" ht="19.95" customHeight="1" x14ac:dyDescent="0.3">
      <c r="B37" s="4" t="s">
        <v>441</v>
      </c>
      <c r="C37" s="9" t="s">
        <v>71</v>
      </c>
      <c r="D37" s="31" t="s">
        <v>442</v>
      </c>
      <c r="E37" s="32"/>
      <c r="F37" s="9" t="s">
        <v>76</v>
      </c>
      <c r="G37" s="9" t="s">
        <v>76</v>
      </c>
      <c r="H37" s="31" t="s">
        <v>443</v>
      </c>
      <c r="I37" s="32"/>
      <c r="J37" s="32"/>
    </row>
    <row r="38" spans="2:10" ht="48" customHeight="1" x14ac:dyDescent="0.3">
      <c r="B38" s="17" t="s">
        <v>444</v>
      </c>
      <c r="C38" s="27" t="s">
        <v>71</v>
      </c>
      <c r="D38" s="54" t="s">
        <v>445</v>
      </c>
      <c r="E38" s="55"/>
      <c r="F38" s="27" t="s">
        <v>238</v>
      </c>
      <c r="G38" s="27" t="s">
        <v>238</v>
      </c>
      <c r="H38" s="54" t="s">
        <v>446</v>
      </c>
      <c r="I38" s="55"/>
      <c r="J38" s="55"/>
    </row>
    <row r="39" spans="2:10" ht="34.049999999999997" customHeight="1" x14ac:dyDescent="0.3">
      <c r="B39" s="4" t="s">
        <v>447</v>
      </c>
      <c r="C39" s="9" t="s">
        <v>71</v>
      </c>
      <c r="D39" s="31" t="s">
        <v>445</v>
      </c>
      <c r="E39" s="32"/>
      <c r="F39" s="9" t="s">
        <v>238</v>
      </c>
      <c r="G39" s="9" t="s">
        <v>238</v>
      </c>
      <c r="H39" s="31" t="s">
        <v>448</v>
      </c>
      <c r="I39" s="32"/>
      <c r="J39" s="32"/>
    </row>
    <row r="40" spans="2:10" ht="48" customHeight="1" x14ac:dyDescent="0.3">
      <c r="B40" s="2" t="s">
        <v>449</v>
      </c>
      <c r="C40" s="8" t="s">
        <v>450</v>
      </c>
      <c r="D40" s="33" t="s">
        <v>433</v>
      </c>
      <c r="E40" s="34"/>
      <c r="F40" s="8" t="s">
        <v>238</v>
      </c>
      <c r="G40" s="8" t="s">
        <v>238</v>
      </c>
      <c r="H40" s="33" t="s">
        <v>451</v>
      </c>
      <c r="I40" s="34"/>
      <c r="J40" s="34"/>
    </row>
  </sheetData>
  <mergeCells count="42">
    <mergeCell ref="H40:J40"/>
    <mergeCell ref="H39:J39"/>
    <mergeCell ref="B2:J2"/>
    <mergeCell ref="D39:E39"/>
    <mergeCell ref="H38:J38"/>
    <mergeCell ref="C7:D7"/>
    <mergeCell ref="E7:F7"/>
    <mergeCell ref="D33:E33"/>
    <mergeCell ref="D38:E38"/>
    <mergeCell ref="B18:J18"/>
    <mergeCell ref="H34:J34"/>
    <mergeCell ref="C13:D13"/>
    <mergeCell ref="D37:E37"/>
    <mergeCell ref="H35:J35"/>
    <mergeCell ref="B4:J4"/>
    <mergeCell ref="C8:D8"/>
    <mergeCell ref="B16:J16"/>
    <mergeCell ref="B1:J1"/>
    <mergeCell ref="E14:F14"/>
    <mergeCell ref="D40:E40"/>
    <mergeCell ref="D36:E36"/>
    <mergeCell ref="E8:F8"/>
    <mergeCell ref="C10:D10"/>
    <mergeCell ref="E10:F10"/>
    <mergeCell ref="B28:J28"/>
    <mergeCell ref="D35:E35"/>
    <mergeCell ref="H37:J37"/>
    <mergeCell ref="E13:F13"/>
    <mergeCell ref="C9:D9"/>
    <mergeCell ref="E9:F9"/>
    <mergeCell ref="B30:J30"/>
    <mergeCell ref="H33:J33"/>
    <mergeCell ref="C12:D12"/>
    <mergeCell ref="E12:F12"/>
    <mergeCell ref="C6:D6"/>
    <mergeCell ref="H36:J36"/>
    <mergeCell ref="D34:E34"/>
    <mergeCell ref="C14:D14"/>
    <mergeCell ref="E6:F6"/>
    <mergeCell ref="C11:D11"/>
    <mergeCell ref="E11:F11"/>
    <mergeCell ref="B32:J32"/>
  </mergeCells>
  <phoneticPr fontId="15"/>
  <printOptions horizontalCentered="1"/>
  <pageMargins left="0.4" right="0.4" top="0.5" bottom="0.5" header="0.5" footer="0.5"/>
  <pageSetup paperSize="9" fitToHeight="0" orientation="landscape"/>
  <headerFooter>
    <oddFooter>&amp;C&amp;"Meiryo UI"&amp;P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62626"/>
    <pageSetUpPr fitToPage="1"/>
  </sheetPr>
  <dimension ref="B1:H3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" customWidth="1"/>
    <col min="2" max="2" width="22" customWidth="1"/>
    <col min="3" max="3" width="24" customWidth="1"/>
    <col min="4" max="4" width="26" customWidth="1"/>
    <col min="5" max="5" width="20" customWidth="1"/>
    <col min="6" max="6" width="26" customWidth="1"/>
    <col min="7" max="7" width="30" customWidth="1"/>
    <col min="8" max="8" width="20" customWidth="1"/>
    <col min="9" max="9" width="13" customWidth="1"/>
  </cols>
  <sheetData>
    <row r="1" spans="2:8" ht="37.950000000000003" customHeight="1" x14ac:dyDescent="0.3">
      <c r="B1" s="43" t="s">
        <v>452</v>
      </c>
      <c r="C1" s="44"/>
      <c r="D1" s="44"/>
      <c r="E1" s="44"/>
      <c r="F1" s="44"/>
      <c r="G1" s="44"/>
      <c r="H1" s="44"/>
    </row>
    <row r="2" spans="2:8" ht="19.95" customHeight="1" x14ac:dyDescent="0.3">
      <c r="B2" s="39" t="s">
        <v>453</v>
      </c>
      <c r="C2" s="40"/>
      <c r="D2" s="40"/>
      <c r="E2" s="40"/>
      <c r="F2" s="40"/>
      <c r="G2" s="40"/>
      <c r="H2" s="40"/>
    </row>
    <row r="3" spans="2:8" ht="7.95" customHeight="1" x14ac:dyDescent="0.3"/>
    <row r="4" spans="2:8" ht="25.95" customHeight="1" x14ac:dyDescent="0.3">
      <c r="B4" s="37" t="s">
        <v>454</v>
      </c>
      <c r="C4" s="38"/>
      <c r="D4" s="38"/>
      <c r="E4" s="38"/>
      <c r="F4" s="38"/>
      <c r="G4" s="38"/>
      <c r="H4" s="38"/>
    </row>
    <row r="5" spans="2:8" ht="6" customHeight="1" x14ac:dyDescent="0.3"/>
    <row r="6" spans="2:8" ht="34.049999999999997" customHeight="1" x14ac:dyDescent="0.3">
      <c r="B6" s="35" t="s">
        <v>455</v>
      </c>
      <c r="C6" s="36"/>
      <c r="D6" s="36"/>
      <c r="E6" s="36"/>
      <c r="F6" s="36"/>
      <c r="G6" s="36"/>
      <c r="H6" s="36"/>
    </row>
    <row r="7" spans="2:8" ht="10.050000000000001" customHeight="1" x14ac:dyDescent="0.3"/>
    <row r="8" spans="2:8" ht="25.95" customHeight="1" x14ac:dyDescent="0.3">
      <c r="B8" s="37" t="s">
        <v>456</v>
      </c>
      <c r="C8" s="38"/>
      <c r="D8" s="38"/>
      <c r="E8" s="38"/>
      <c r="F8" s="38"/>
      <c r="G8" s="38"/>
      <c r="H8" s="38"/>
    </row>
    <row r="9" spans="2:8" ht="6" customHeight="1" x14ac:dyDescent="0.3"/>
    <row r="10" spans="2:8" ht="19.95" customHeight="1" x14ac:dyDescent="0.3">
      <c r="B10" s="1" t="s">
        <v>457</v>
      </c>
      <c r="C10" s="1" t="s">
        <v>299</v>
      </c>
      <c r="D10" s="1" t="s">
        <v>458</v>
      </c>
      <c r="E10" s="1" t="s">
        <v>272</v>
      </c>
      <c r="F10" s="1" t="s">
        <v>459</v>
      </c>
      <c r="G10" s="1" t="s">
        <v>460</v>
      </c>
      <c r="H10" s="1" t="s">
        <v>461</v>
      </c>
    </row>
    <row r="11" spans="2:8" ht="48" customHeight="1" x14ac:dyDescent="0.3">
      <c r="B11" s="2" t="s">
        <v>462</v>
      </c>
      <c r="C11" s="3" t="s">
        <v>463</v>
      </c>
      <c r="D11" s="3" t="s">
        <v>464</v>
      </c>
      <c r="E11" s="3" t="s">
        <v>465</v>
      </c>
      <c r="F11" s="3" t="s">
        <v>466</v>
      </c>
      <c r="G11" s="3" t="s">
        <v>467</v>
      </c>
      <c r="H11" s="3" t="s">
        <v>468</v>
      </c>
    </row>
    <row r="12" spans="2:8" ht="61.95" customHeight="1" x14ac:dyDescent="0.3">
      <c r="B12" s="4" t="s">
        <v>469</v>
      </c>
      <c r="C12" s="5" t="s">
        <v>470</v>
      </c>
      <c r="D12" s="5" t="s">
        <v>471</v>
      </c>
      <c r="E12" s="5" t="s">
        <v>472</v>
      </c>
      <c r="F12" s="5" t="s">
        <v>473</v>
      </c>
      <c r="G12" s="5" t="s">
        <v>474</v>
      </c>
      <c r="H12" s="5" t="s">
        <v>475</v>
      </c>
    </row>
    <row r="13" spans="2:8" ht="48" customHeight="1" x14ac:dyDescent="0.3">
      <c r="B13" s="2" t="s">
        <v>476</v>
      </c>
      <c r="C13" s="3" t="s">
        <v>477</v>
      </c>
      <c r="D13" s="3" t="s">
        <v>478</v>
      </c>
      <c r="E13" s="3" t="s">
        <v>479</v>
      </c>
      <c r="F13" s="3" t="s">
        <v>480</v>
      </c>
      <c r="G13" s="3" t="s">
        <v>481</v>
      </c>
      <c r="H13" s="3" t="s">
        <v>482</v>
      </c>
    </row>
    <row r="14" spans="2:8" ht="61.95" customHeight="1" x14ac:dyDescent="0.3">
      <c r="B14" s="4" t="s">
        <v>483</v>
      </c>
      <c r="C14" s="5" t="s">
        <v>484</v>
      </c>
      <c r="D14" s="5" t="s">
        <v>485</v>
      </c>
      <c r="E14" s="5" t="s">
        <v>486</v>
      </c>
      <c r="F14" s="5" t="s">
        <v>487</v>
      </c>
      <c r="G14" s="5" t="s">
        <v>488</v>
      </c>
      <c r="H14" s="5" t="s">
        <v>489</v>
      </c>
    </row>
    <row r="15" spans="2:8" ht="61.95" customHeight="1" x14ac:dyDescent="0.3">
      <c r="B15" s="2" t="s">
        <v>490</v>
      </c>
      <c r="C15" s="3" t="s">
        <v>491</v>
      </c>
      <c r="D15" s="3" t="s">
        <v>492</v>
      </c>
      <c r="E15" s="3" t="s">
        <v>493</v>
      </c>
      <c r="F15" s="3" t="s">
        <v>494</v>
      </c>
      <c r="G15" s="3" t="s">
        <v>495</v>
      </c>
      <c r="H15" s="3" t="s">
        <v>496</v>
      </c>
    </row>
    <row r="16" spans="2:8" ht="48" customHeight="1" x14ac:dyDescent="0.3">
      <c r="B16" s="4" t="s">
        <v>497</v>
      </c>
      <c r="C16" s="5" t="s">
        <v>498</v>
      </c>
      <c r="D16" s="5" t="s">
        <v>499</v>
      </c>
      <c r="E16" s="5" t="s">
        <v>500</v>
      </c>
      <c r="F16" s="5" t="s">
        <v>501</v>
      </c>
      <c r="G16" s="5" t="s">
        <v>502</v>
      </c>
      <c r="H16" s="5" t="s">
        <v>503</v>
      </c>
    </row>
    <row r="17" spans="2:8" ht="10.050000000000001" customHeight="1" x14ac:dyDescent="0.3"/>
    <row r="18" spans="2:8" ht="25.95" customHeight="1" x14ac:dyDescent="0.3">
      <c r="B18" s="37" t="s">
        <v>504</v>
      </c>
      <c r="C18" s="38"/>
      <c r="D18" s="38"/>
      <c r="E18" s="38"/>
      <c r="F18" s="38"/>
      <c r="G18" s="38"/>
      <c r="H18" s="38"/>
    </row>
    <row r="19" spans="2:8" ht="6" customHeight="1" x14ac:dyDescent="0.3"/>
    <row r="20" spans="2:8" ht="19.95" customHeight="1" x14ac:dyDescent="0.3">
      <c r="B20" s="41" t="s">
        <v>505</v>
      </c>
      <c r="C20" s="42"/>
      <c r="D20" s="42"/>
      <c r="E20" s="41" t="s">
        <v>506</v>
      </c>
      <c r="F20" s="42"/>
      <c r="G20" s="42"/>
      <c r="H20" s="42"/>
    </row>
    <row r="21" spans="2:8" ht="19.95" customHeight="1" x14ac:dyDescent="0.3">
      <c r="B21" s="57" t="s">
        <v>507</v>
      </c>
      <c r="C21" s="34"/>
      <c r="D21" s="34"/>
      <c r="E21" s="33" t="s">
        <v>508</v>
      </c>
      <c r="F21" s="34"/>
      <c r="G21" s="34"/>
      <c r="H21" s="34"/>
    </row>
    <row r="22" spans="2:8" ht="19.95" customHeight="1" x14ac:dyDescent="0.3">
      <c r="B22" s="58" t="s">
        <v>509</v>
      </c>
      <c r="C22" s="32"/>
      <c r="D22" s="32"/>
      <c r="E22" s="31" t="s">
        <v>510</v>
      </c>
      <c r="F22" s="32"/>
      <c r="G22" s="32"/>
      <c r="H22" s="32"/>
    </row>
    <row r="23" spans="2:8" ht="34.049999999999997" customHeight="1" x14ac:dyDescent="0.3">
      <c r="B23" s="57" t="s">
        <v>511</v>
      </c>
      <c r="C23" s="34"/>
      <c r="D23" s="34"/>
      <c r="E23" s="33" t="s">
        <v>512</v>
      </c>
      <c r="F23" s="34"/>
      <c r="G23" s="34"/>
      <c r="H23" s="34"/>
    </row>
    <row r="24" spans="2:8" ht="19.95" customHeight="1" x14ac:dyDescent="0.3">
      <c r="B24" s="58" t="s">
        <v>513</v>
      </c>
      <c r="C24" s="32"/>
      <c r="D24" s="32"/>
      <c r="E24" s="31" t="s">
        <v>514</v>
      </c>
      <c r="F24" s="32"/>
      <c r="G24" s="32"/>
      <c r="H24" s="32"/>
    </row>
    <row r="25" spans="2:8" ht="19.95" customHeight="1" x14ac:dyDescent="0.3">
      <c r="B25" s="57" t="s">
        <v>515</v>
      </c>
      <c r="C25" s="34"/>
      <c r="D25" s="34"/>
      <c r="E25" s="33" t="s">
        <v>516</v>
      </c>
      <c r="F25" s="34"/>
      <c r="G25" s="34"/>
      <c r="H25" s="34"/>
    </row>
    <row r="26" spans="2:8" ht="10.050000000000001" customHeight="1" x14ac:dyDescent="0.3"/>
    <row r="27" spans="2:8" ht="25.95" customHeight="1" x14ac:dyDescent="0.3">
      <c r="B27" s="37" t="s">
        <v>517</v>
      </c>
      <c r="C27" s="38"/>
      <c r="D27" s="38"/>
      <c r="E27" s="38"/>
      <c r="F27" s="38"/>
      <c r="G27" s="38"/>
      <c r="H27" s="38"/>
    </row>
    <row r="28" spans="2:8" ht="6" customHeight="1" x14ac:dyDescent="0.3"/>
    <row r="29" spans="2:8" ht="19.95" customHeight="1" x14ac:dyDescent="0.3">
      <c r="B29" s="45" t="s">
        <v>518</v>
      </c>
      <c r="C29" s="46"/>
      <c r="D29" s="46"/>
      <c r="E29" s="46"/>
      <c r="F29" s="46"/>
      <c r="G29" s="46"/>
      <c r="H29" s="46"/>
    </row>
    <row r="30" spans="2:8" ht="19.95" customHeight="1" x14ac:dyDescent="0.3">
      <c r="B30" s="45" t="s">
        <v>519</v>
      </c>
      <c r="C30" s="46"/>
      <c r="D30" s="46"/>
      <c r="E30" s="46"/>
      <c r="F30" s="46"/>
      <c r="G30" s="46"/>
      <c r="H30" s="46"/>
    </row>
    <row r="31" spans="2:8" ht="34.049999999999997" customHeight="1" x14ac:dyDescent="0.3">
      <c r="B31" s="45" t="s">
        <v>520</v>
      </c>
      <c r="C31" s="46"/>
      <c r="D31" s="46"/>
      <c r="E31" s="46"/>
      <c r="F31" s="46"/>
      <c r="G31" s="46"/>
      <c r="H31" s="46"/>
    </row>
    <row r="32" spans="2:8" ht="19.95" customHeight="1" x14ac:dyDescent="0.3">
      <c r="B32" s="45" t="s">
        <v>521</v>
      </c>
      <c r="C32" s="46"/>
      <c r="D32" s="46"/>
      <c r="E32" s="46"/>
      <c r="F32" s="46"/>
      <c r="G32" s="46"/>
      <c r="H32" s="46"/>
    </row>
  </sheetData>
  <mergeCells count="23">
    <mergeCell ref="B2:H2"/>
    <mergeCell ref="B25:D25"/>
    <mergeCell ref="B8:H8"/>
    <mergeCell ref="B1:H1"/>
    <mergeCell ref="B22:D22"/>
    <mergeCell ref="B21:D21"/>
    <mergeCell ref="B32:H32"/>
    <mergeCell ref="B4:H4"/>
    <mergeCell ref="E21:H21"/>
    <mergeCell ref="E24:H24"/>
    <mergeCell ref="B24:D24"/>
    <mergeCell ref="B20:D20"/>
    <mergeCell ref="B31:H31"/>
    <mergeCell ref="E23:H23"/>
    <mergeCell ref="B18:H18"/>
    <mergeCell ref="B27:H27"/>
    <mergeCell ref="E20:H20"/>
    <mergeCell ref="B29:H29"/>
    <mergeCell ref="B23:D23"/>
    <mergeCell ref="B6:H6"/>
    <mergeCell ref="B30:H30"/>
    <mergeCell ref="E25:H25"/>
    <mergeCell ref="E22:H22"/>
  </mergeCells>
  <phoneticPr fontId="15"/>
  <printOptions horizontalCentered="1"/>
  <pageMargins left="0.4" right="0.4" top="0.5" bottom="0.5" header="0.5" footer="0.5"/>
  <pageSetup paperSize="9" fitToHeight="0" orientation="landscape"/>
  <headerFooter>
    <oddFooter>&amp;C&amp;"Meiryo UI"&amp;P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95959"/>
    <pageSetUpPr fitToPage="1"/>
  </sheetPr>
  <dimension ref="B1:D3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" customWidth="1"/>
    <col min="2" max="2" width="20" customWidth="1"/>
    <col min="3" max="3" width="96" customWidth="1"/>
    <col min="4" max="4" width="44" customWidth="1"/>
    <col min="5" max="5" width="13" customWidth="1"/>
  </cols>
  <sheetData>
    <row r="1" spans="2:4" ht="37.950000000000003" customHeight="1" x14ac:dyDescent="0.3">
      <c r="B1" s="43" t="s">
        <v>522</v>
      </c>
      <c r="C1" s="44"/>
      <c r="D1" s="44"/>
    </row>
    <row r="2" spans="2:4" ht="19.95" customHeight="1" x14ac:dyDescent="0.3">
      <c r="B2" s="39" t="s">
        <v>523</v>
      </c>
      <c r="C2" s="40"/>
      <c r="D2" s="40"/>
    </row>
    <row r="3" spans="2:4" ht="7.95" customHeight="1" x14ac:dyDescent="0.3"/>
    <row r="4" spans="2:4" ht="25.95" customHeight="1" x14ac:dyDescent="0.3">
      <c r="B4" s="37" t="s">
        <v>524</v>
      </c>
      <c r="C4" s="38"/>
      <c r="D4" s="38"/>
    </row>
    <row r="5" spans="2:4" ht="6" customHeight="1" x14ac:dyDescent="0.3"/>
    <row r="6" spans="2:4" ht="19.95" customHeight="1" x14ac:dyDescent="0.3">
      <c r="B6" s="1" t="s">
        <v>525</v>
      </c>
      <c r="C6" s="1" t="s">
        <v>526</v>
      </c>
      <c r="D6" s="1" t="s">
        <v>527</v>
      </c>
    </row>
    <row r="7" spans="2:4" ht="103.95" customHeight="1" x14ac:dyDescent="0.3">
      <c r="B7" s="2" t="s">
        <v>528</v>
      </c>
      <c r="C7" s="3" t="s">
        <v>529</v>
      </c>
      <c r="D7" s="3" t="s">
        <v>530</v>
      </c>
    </row>
    <row r="8" spans="2:4" ht="90" customHeight="1" x14ac:dyDescent="0.3">
      <c r="B8" s="4" t="s">
        <v>531</v>
      </c>
      <c r="C8" s="28" t="s">
        <v>532</v>
      </c>
      <c r="D8" s="5" t="s">
        <v>533</v>
      </c>
    </row>
    <row r="9" spans="2:4" ht="125.7" customHeight="1" x14ac:dyDescent="0.3">
      <c r="B9" s="2" t="s">
        <v>534</v>
      </c>
      <c r="C9" s="28" t="s">
        <v>535</v>
      </c>
      <c r="D9" s="3" t="s">
        <v>536</v>
      </c>
    </row>
    <row r="10" spans="2:4" ht="99.15" customHeight="1" x14ac:dyDescent="0.3">
      <c r="B10" s="4" t="s">
        <v>537</v>
      </c>
      <c r="C10" s="28" t="s">
        <v>538</v>
      </c>
      <c r="D10" s="5" t="s">
        <v>539</v>
      </c>
    </row>
    <row r="11" spans="2:4" ht="72.45" customHeight="1" x14ac:dyDescent="0.3">
      <c r="B11" s="2" t="s">
        <v>540</v>
      </c>
      <c r="C11" s="28" t="s">
        <v>541</v>
      </c>
      <c r="D11" s="3" t="s">
        <v>542</v>
      </c>
    </row>
    <row r="12" spans="2:4" ht="10.050000000000001" customHeight="1" x14ac:dyDescent="0.3"/>
    <row r="13" spans="2:4" ht="25.95" customHeight="1" x14ac:dyDescent="0.3">
      <c r="B13" s="37" t="s">
        <v>543</v>
      </c>
      <c r="C13" s="38"/>
      <c r="D13" s="38"/>
    </row>
    <row r="14" spans="2:4" ht="6" customHeight="1" x14ac:dyDescent="0.3"/>
    <row r="15" spans="2:4" ht="19.95" customHeight="1" x14ac:dyDescent="0.3">
      <c r="B15" s="1" t="s">
        <v>525</v>
      </c>
      <c r="C15" s="1" t="s">
        <v>526</v>
      </c>
      <c r="D15" s="1" t="s">
        <v>527</v>
      </c>
    </row>
    <row r="16" spans="2:4" ht="76.05" customHeight="1" x14ac:dyDescent="0.3">
      <c r="B16" s="2" t="s">
        <v>544</v>
      </c>
      <c r="C16" s="28" t="s">
        <v>545</v>
      </c>
      <c r="D16" s="3" t="s">
        <v>546</v>
      </c>
    </row>
    <row r="17" spans="2:4" ht="99.15" customHeight="1" x14ac:dyDescent="0.3">
      <c r="B17" s="4" t="s">
        <v>547</v>
      </c>
      <c r="C17" s="28" t="s">
        <v>548</v>
      </c>
      <c r="D17" s="5" t="s">
        <v>549</v>
      </c>
    </row>
    <row r="18" spans="2:4" ht="48" customHeight="1" x14ac:dyDescent="0.3">
      <c r="B18" s="2" t="s">
        <v>550</v>
      </c>
      <c r="C18" s="28" t="s">
        <v>551</v>
      </c>
      <c r="D18" s="3" t="s">
        <v>552</v>
      </c>
    </row>
    <row r="19" spans="2:4" ht="10.050000000000001" customHeight="1" x14ac:dyDescent="0.3"/>
    <row r="20" spans="2:4" ht="25.95" customHeight="1" x14ac:dyDescent="0.3">
      <c r="B20" s="37" t="s">
        <v>553</v>
      </c>
      <c r="C20" s="38"/>
      <c r="D20" s="38"/>
    </row>
    <row r="21" spans="2:4" ht="6" customHeight="1" x14ac:dyDescent="0.3"/>
    <row r="22" spans="2:4" ht="19.95" customHeight="1" x14ac:dyDescent="0.3">
      <c r="B22" s="1" t="s">
        <v>525</v>
      </c>
      <c r="C22" s="1" t="s">
        <v>526</v>
      </c>
      <c r="D22" s="1" t="s">
        <v>527</v>
      </c>
    </row>
    <row r="23" spans="2:4" ht="34.049999999999997" customHeight="1" x14ac:dyDescent="0.3">
      <c r="B23" s="2" t="s">
        <v>528</v>
      </c>
      <c r="C23" s="3" t="s">
        <v>554</v>
      </c>
      <c r="D23" s="3" t="s">
        <v>555</v>
      </c>
    </row>
    <row r="24" spans="2:4" ht="125.7" customHeight="1" x14ac:dyDescent="0.3">
      <c r="B24" s="4" t="s">
        <v>531</v>
      </c>
      <c r="C24" s="28" t="s">
        <v>556</v>
      </c>
      <c r="D24" s="5" t="s">
        <v>557</v>
      </c>
    </row>
    <row r="25" spans="2:4" ht="45.9" customHeight="1" x14ac:dyDescent="0.3">
      <c r="B25" s="2" t="s">
        <v>558</v>
      </c>
      <c r="C25" s="28" t="s">
        <v>559</v>
      </c>
      <c r="D25" s="3" t="s">
        <v>560</v>
      </c>
    </row>
    <row r="26" spans="2:4" ht="10.050000000000001" customHeight="1" x14ac:dyDescent="0.3"/>
    <row r="27" spans="2:4" ht="25.95" customHeight="1" x14ac:dyDescent="0.3">
      <c r="B27" s="37" t="s">
        <v>561</v>
      </c>
      <c r="C27" s="38"/>
      <c r="D27" s="38"/>
    </row>
    <row r="28" spans="2:4" ht="6" customHeight="1" x14ac:dyDescent="0.3"/>
    <row r="29" spans="2:4" ht="19.95" customHeight="1" x14ac:dyDescent="0.3">
      <c r="B29" s="1" t="s">
        <v>525</v>
      </c>
      <c r="C29" s="1" t="s">
        <v>526</v>
      </c>
      <c r="D29" s="1" t="s">
        <v>527</v>
      </c>
    </row>
    <row r="30" spans="2:4" ht="76.05" customHeight="1" x14ac:dyDescent="0.3">
      <c r="B30" s="2" t="s">
        <v>531</v>
      </c>
      <c r="C30" s="28" t="s">
        <v>562</v>
      </c>
      <c r="D30" s="3" t="s">
        <v>563</v>
      </c>
    </row>
    <row r="31" spans="2:4" ht="10.050000000000001" customHeight="1" x14ac:dyDescent="0.3"/>
    <row r="32" spans="2:4" ht="25.95" customHeight="1" x14ac:dyDescent="0.3">
      <c r="B32" s="37" t="s">
        <v>564</v>
      </c>
      <c r="C32" s="38"/>
      <c r="D32" s="38"/>
    </row>
    <row r="33" spans="2:4" ht="6" customHeight="1" x14ac:dyDescent="0.3"/>
    <row r="34" spans="2:4" ht="19.95" customHeight="1" x14ac:dyDescent="0.3">
      <c r="B34" s="1" t="s">
        <v>525</v>
      </c>
      <c r="C34" s="1" t="s">
        <v>526</v>
      </c>
      <c r="D34" s="1" t="s">
        <v>527</v>
      </c>
    </row>
    <row r="35" spans="2:4" ht="48" customHeight="1" x14ac:dyDescent="0.3">
      <c r="B35" s="2" t="s">
        <v>565</v>
      </c>
      <c r="C35" s="28" t="s">
        <v>566</v>
      </c>
      <c r="D35" s="3" t="s">
        <v>567</v>
      </c>
    </row>
    <row r="36" spans="2:4" ht="34.049999999999997" customHeight="1" x14ac:dyDescent="0.3">
      <c r="B36" s="4" t="s">
        <v>568</v>
      </c>
      <c r="C36" s="28" t="s">
        <v>569</v>
      </c>
      <c r="D36" s="5" t="s">
        <v>570</v>
      </c>
    </row>
    <row r="37" spans="2:4" ht="34.049999999999997" customHeight="1" x14ac:dyDescent="0.3">
      <c r="B37" s="2" t="s">
        <v>571</v>
      </c>
      <c r="C37" s="28" t="s">
        <v>572</v>
      </c>
      <c r="D37" s="3" t="s">
        <v>573</v>
      </c>
    </row>
    <row r="38" spans="2:4" ht="48" customHeight="1" x14ac:dyDescent="0.3">
      <c r="B38" s="4" t="s">
        <v>574</v>
      </c>
      <c r="C38" s="28" t="s">
        <v>575</v>
      </c>
      <c r="D38" s="5" t="s">
        <v>576</v>
      </c>
    </row>
    <row r="39" spans="2:4" ht="72.45" customHeight="1" x14ac:dyDescent="0.3">
      <c r="B39" s="2" t="s">
        <v>577</v>
      </c>
      <c r="C39" s="28" t="s">
        <v>578</v>
      </c>
      <c r="D39" s="3" t="s">
        <v>579</v>
      </c>
    </row>
  </sheetData>
  <mergeCells count="7">
    <mergeCell ref="B1:D1"/>
    <mergeCell ref="B32:D32"/>
    <mergeCell ref="B4:D4"/>
    <mergeCell ref="B27:D27"/>
    <mergeCell ref="B13:D13"/>
    <mergeCell ref="B2:D2"/>
    <mergeCell ref="B20:D20"/>
  </mergeCells>
  <phoneticPr fontId="15"/>
  <printOptions horizontalCentered="1"/>
  <pageMargins left="0.4" right="0.4" top="0.5" bottom="0.5" header="0.5" footer="0.5"/>
  <pageSetup paperSize="9" fitToHeight="0" orientation="landscape"/>
  <headerFooter>
    <oddFooter>&amp;C&amp;"Meiryo UI"&amp;P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04040"/>
    <pageSetUpPr fitToPage="1"/>
  </sheetPr>
  <dimension ref="B1:F23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" customWidth="1"/>
    <col min="2" max="2" width="6" customWidth="1"/>
    <col min="3" max="3" width="12" customWidth="1"/>
    <col min="4" max="4" width="58" customWidth="1"/>
    <col min="5" max="5" width="50" customWidth="1"/>
    <col min="6" max="6" width="10" customWidth="1"/>
    <col min="7" max="7" width="13" customWidth="1"/>
  </cols>
  <sheetData>
    <row r="1" spans="2:6" ht="37.950000000000003" customHeight="1" x14ac:dyDescent="0.3">
      <c r="B1" s="43" t="s">
        <v>580</v>
      </c>
      <c r="C1" s="44"/>
      <c r="D1" s="44"/>
      <c r="E1" s="44"/>
      <c r="F1" s="44"/>
    </row>
    <row r="2" spans="2:6" ht="19.95" customHeight="1" x14ac:dyDescent="0.3">
      <c r="B2" s="39" t="s">
        <v>581</v>
      </c>
      <c r="C2" s="40"/>
      <c r="D2" s="40"/>
      <c r="E2" s="40"/>
      <c r="F2" s="40"/>
    </row>
    <row r="3" spans="2:6" ht="7.95" customHeight="1" x14ac:dyDescent="0.3"/>
    <row r="4" spans="2:6" ht="25.95" customHeight="1" x14ac:dyDescent="0.3">
      <c r="B4" s="37" t="s">
        <v>582</v>
      </c>
      <c r="C4" s="38"/>
      <c r="D4" s="38"/>
      <c r="E4" s="38"/>
      <c r="F4" s="38"/>
    </row>
    <row r="5" spans="2:6" ht="6" customHeight="1" x14ac:dyDescent="0.3"/>
    <row r="6" spans="2:6" ht="19.95" customHeight="1" x14ac:dyDescent="0.3">
      <c r="B6" s="56" t="s">
        <v>583</v>
      </c>
      <c r="C6" s="32"/>
      <c r="D6" s="32"/>
      <c r="E6" s="32"/>
      <c r="F6" s="32"/>
    </row>
    <row r="7" spans="2:6" ht="10.050000000000001" customHeight="1" x14ac:dyDescent="0.3"/>
    <row r="8" spans="2:6" ht="25.95" customHeight="1" x14ac:dyDescent="0.3">
      <c r="B8" s="37" t="s">
        <v>584</v>
      </c>
      <c r="C8" s="38"/>
      <c r="D8" s="38"/>
      <c r="E8" s="38"/>
      <c r="F8" s="38"/>
    </row>
    <row r="9" spans="2:6" ht="6" customHeight="1" x14ac:dyDescent="0.3"/>
    <row r="10" spans="2:6" ht="19.95" customHeight="1" x14ac:dyDescent="0.3">
      <c r="B10" s="1" t="s">
        <v>61</v>
      </c>
      <c r="C10" s="1" t="s">
        <v>336</v>
      </c>
      <c r="D10" s="1" t="s">
        <v>585</v>
      </c>
      <c r="E10" s="1" t="s">
        <v>586</v>
      </c>
      <c r="F10" s="1" t="s">
        <v>587</v>
      </c>
    </row>
    <row r="11" spans="2:6" ht="34.049999999999997" customHeight="1" x14ac:dyDescent="0.3">
      <c r="B11" s="8" t="s">
        <v>66</v>
      </c>
      <c r="C11" s="8" t="s">
        <v>588</v>
      </c>
      <c r="D11" s="3" t="s">
        <v>589</v>
      </c>
      <c r="E11" s="3" t="s">
        <v>590</v>
      </c>
      <c r="F11" s="11" t="s">
        <v>591</v>
      </c>
    </row>
    <row r="12" spans="2:6" ht="34.049999999999997" customHeight="1" x14ac:dyDescent="0.3">
      <c r="B12" s="9" t="s">
        <v>71</v>
      </c>
      <c r="C12" s="9" t="s">
        <v>588</v>
      </c>
      <c r="D12" s="5" t="s">
        <v>592</v>
      </c>
      <c r="E12" s="5" t="s">
        <v>593</v>
      </c>
      <c r="F12" s="11"/>
    </row>
    <row r="13" spans="2:6" ht="34.049999999999997" customHeight="1" x14ac:dyDescent="0.3">
      <c r="B13" s="8" t="s">
        <v>76</v>
      </c>
      <c r="C13" s="8" t="s">
        <v>588</v>
      </c>
      <c r="D13" s="3" t="s">
        <v>594</v>
      </c>
      <c r="E13" s="3" t="s">
        <v>595</v>
      </c>
      <c r="F13" s="11"/>
    </row>
    <row r="14" spans="2:6" ht="19.95" customHeight="1" x14ac:dyDescent="0.3">
      <c r="B14" s="9" t="s">
        <v>81</v>
      </c>
      <c r="C14" s="9" t="s">
        <v>588</v>
      </c>
      <c r="D14" s="5" t="s">
        <v>596</v>
      </c>
      <c r="E14" s="5" t="s">
        <v>597</v>
      </c>
      <c r="F14" s="11"/>
    </row>
    <row r="15" spans="2:6" ht="34.049999999999997" customHeight="1" x14ac:dyDescent="0.3">
      <c r="B15" s="8" t="s">
        <v>86</v>
      </c>
      <c r="C15" s="8" t="s">
        <v>598</v>
      </c>
      <c r="D15" s="3" t="s">
        <v>599</v>
      </c>
      <c r="E15" s="3" t="s">
        <v>600</v>
      </c>
      <c r="F15" s="11"/>
    </row>
    <row r="16" spans="2:6" ht="34.049999999999997" customHeight="1" x14ac:dyDescent="0.3">
      <c r="B16" s="9" t="s">
        <v>91</v>
      </c>
      <c r="C16" s="9" t="s">
        <v>133</v>
      </c>
      <c r="D16" s="5" t="s">
        <v>601</v>
      </c>
      <c r="E16" s="5" t="s">
        <v>602</v>
      </c>
      <c r="F16" s="11"/>
    </row>
    <row r="17" spans="2:6" ht="19.95" customHeight="1" x14ac:dyDescent="0.3">
      <c r="B17" s="8" t="s">
        <v>96</v>
      </c>
      <c r="C17" s="8" t="s">
        <v>603</v>
      </c>
      <c r="D17" s="3" t="s">
        <v>604</v>
      </c>
      <c r="E17" s="3" t="s">
        <v>605</v>
      </c>
      <c r="F17" s="11"/>
    </row>
    <row r="18" spans="2:6" ht="34.049999999999997" customHeight="1" x14ac:dyDescent="0.3">
      <c r="B18" s="9" t="s">
        <v>101</v>
      </c>
      <c r="C18" s="9" t="s">
        <v>606</v>
      </c>
      <c r="D18" s="5" t="s">
        <v>607</v>
      </c>
      <c r="E18" s="5" t="s">
        <v>608</v>
      </c>
      <c r="F18" s="11"/>
    </row>
    <row r="19" spans="2:6" ht="34.049999999999997" customHeight="1" x14ac:dyDescent="0.3">
      <c r="B19" s="8" t="s">
        <v>136</v>
      </c>
      <c r="C19" s="8" t="s">
        <v>609</v>
      </c>
      <c r="D19" s="3" t="s">
        <v>610</v>
      </c>
      <c r="E19" s="3" t="s">
        <v>611</v>
      </c>
      <c r="F19" s="11"/>
    </row>
    <row r="20" spans="2:6" ht="34.049999999999997" customHeight="1" x14ac:dyDescent="0.3">
      <c r="B20" s="9" t="s">
        <v>105</v>
      </c>
      <c r="C20" s="9" t="s">
        <v>609</v>
      </c>
      <c r="D20" s="5" t="s">
        <v>612</v>
      </c>
      <c r="E20" s="5" t="s">
        <v>613</v>
      </c>
      <c r="F20" s="11"/>
    </row>
    <row r="21" spans="2:6" ht="34.049999999999997" customHeight="1" x14ac:dyDescent="0.3">
      <c r="B21" s="8" t="s">
        <v>143</v>
      </c>
      <c r="C21" s="8" t="s">
        <v>614</v>
      </c>
      <c r="D21" s="3" t="s">
        <v>615</v>
      </c>
      <c r="E21" s="3" t="s">
        <v>616</v>
      </c>
      <c r="F21" s="11"/>
    </row>
    <row r="22" spans="2:6" ht="48" customHeight="1" x14ac:dyDescent="0.3">
      <c r="B22" s="9" t="s">
        <v>147</v>
      </c>
      <c r="C22" s="9" t="s">
        <v>617</v>
      </c>
      <c r="D22" s="5" t="s">
        <v>618</v>
      </c>
      <c r="E22" s="5" t="s">
        <v>619</v>
      </c>
      <c r="F22" s="11"/>
    </row>
    <row r="23" spans="2:6" ht="34.049999999999997" customHeight="1" x14ac:dyDescent="0.3">
      <c r="B23" s="8" t="s">
        <v>620</v>
      </c>
      <c r="C23" s="8" t="s">
        <v>621</v>
      </c>
      <c r="D23" s="3" t="s">
        <v>622</v>
      </c>
      <c r="E23" s="3" t="s">
        <v>623</v>
      </c>
      <c r="F23" s="11"/>
    </row>
  </sheetData>
  <mergeCells count="5">
    <mergeCell ref="B4:F4"/>
    <mergeCell ref="B6:F6"/>
    <mergeCell ref="B2:F2"/>
    <mergeCell ref="B1:F1"/>
    <mergeCell ref="B8:F8"/>
  </mergeCells>
  <phoneticPr fontId="15"/>
  <printOptions horizontalCentered="1"/>
  <pageMargins left="0.4" right="0.4" top="0.5" bottom="0.5" header="0.5" footer="0.5"/>
  <pageSetup paperSize="9" fitToHeight="0" orientation="landscape"/>
  <headerFooter>
    <oddFooter>&amp;C&amp;"Meiryo UI"&amp;P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95959"/>
    <pageSetUpPr fitToPage="1"/>
  </sheetPr>
  <dimension ref="B1:E26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" customWidth="1"/>
    <col min="2" max="2" width="26" customWidth="1"/>
    <col min="3" max="3" width="32" customWidth="1"/>
    <col min="4" max="4" width="36" customWidth="1"/>
    <col min="5" max="5" width="42" customWidth="1"/>
    <col min="6" max="6" width="13" customWidth="1"/>
  </cols>
  <sheetData>
    <row r="1" spans="2:5" ht="37.950000000000003" customHeight="1" x14ac:dyDescent="0.3">
      <c r="B1" s="43" t="s">
        <v>624</v>
      </c>
      <c r="C1" s="44"/>
      <c r="D1" s="44"/>
      <c r="E1" s="44"/>
    </row>
    <row r="2" spans="2:5" ht="19.95" customHeight="1" x14ac:dyDescent="0.3">
      <c r="B2" s="39" t="s">
        <v>625</v>
      </c>
      <c r="C2" s="40"/>
      <c r="D2" s="40"/>
      <c r="E2" s="40"/>
    </row>
    <row r="3" spans="2:5" ht="7.95" customHeight="1" x14ac:dyDescent="0.3"/>
    <row r="4" spans="2:5" ht="25.95" customHeight="1" x14ac:dyDescent="0.3">
      <c r="B4" s="37" t="s">
        <v>626</v>
      </c>
      <c r="C4" s="38"/>
      <c r="D4" s="38"/>
      <c r="E4" s="38"/>
    </row>
    <row r="5" spans="2:5" ht="6" customHeight="1" x14ac:dyDescent="0.3"/>
    <row r="6" spans="2:5" ht="19.95" customHeight="1" x14ac:dyDescent="0.3">
      <c r="B6" s="1" t="s">
        <v>61</v>
      </c>
      <c r="C6" s="1" t="s">
        <v>627</v>
      </c>
      <c r="D6" s="41" t="s">
        <v>628</v>
      </c>
      <c r="E6" s="42"/>
    </row>
    <row r="7" spans="2:5" ht="34.049999999999997" customHeight="1" x14ac:dyDescent="0.3">
      <c r="B7" s="8" t="s">
        <v>66</v>
      </c>
      <c r="C7" s="3" t="s">
        <v>629</v>
      </c>
      <c r="D7" s="33" t="s">
        <v>630</v>
      </c>
      <c r="E7" s="34"/>
    </row>
    <row r="8" spans="2:5" ht="19.95" customHeight="1" x14ac:dyDescent="0.3">
      <c r="B8" s="9" t="s">
        <v>71</v>
      </c>
      <c r="C8" s="5" t="s">
        <v>631</v>
      </c>
      <c r="D8" s="31" t="s">
        <v>632</v>
      </c>
      <c r="E8" s="32"/>
    </row>
    <row r="9" spans="2:5" ht="34.049999999999997" customHeight="1" x14ac:dyDescent="0.3">
      <c r="B9" s="8" t="s">
        <v>76</v>
      </c>
      <c r="C9" s="3" t="s">
        <v>633</v>
      </c>
      <c r="D9" s="33" t="s">
        <v>634</v>
      </c>
      <c r="E9" s="34"/>
    </row>
    <row r="10" spans="2:5" ht="19.95" customHeight="1" x14ac:dyDescent="0.3">
      <c r="B10" s="9" t="s">
        <v>81</v>
      </c>
      <c r="C10" s="5" t="s">
        <v>635</v>
      </c>
      <c r="D10" s="31" t="s">
        <v>636</v>
      </c>
      <c r="E10" s="32"/>
    </row>
    <row r="11" spans="2:5" ht="19.95" customHeight="1" x14ac:dyDescent="0.3">
      <c r="B11" s="8" t="s">
        <v>86</v>
      </c>
      <c r="C11" s="3" t="s">
        <v>637</v>
      </c>
      <c r="D11" s="33" t="s">
        <v>638</v>
      </c>
      <c r="E11" s="34"/>
    </row>
    <row r="12" spans="2:5" ht="19.95" customHeight="1" x14ac:dyDescent="0.3">
      <c r="B12" s="9" t="s">
        <v>91</v>
      </c>
      <c r="C12" s="5" t="s">
        <v>639</v>
      </c>
      <c r="D12" s="31" t="s">
        <v>640</v>
      </c>
      <c r="E12" s="32"/>
    </row>
    <row r="13" spans="2:5" ht="10.050000000000001" customHeight="1" x14ac:dyDescent="0.3"/>
    <row r="14" spans="2:5" ht="25.95" customHeight="1" x14ac:dyDescent="0.3">
      <c r="B14" s="37" t="s">
        <v>641</v>
      </c>
      <c r="C14" s="38"/>
      <c r="D14" s="38"/>
      <c r="E14" s="38"/>
    </row>
    <row r="15" spans="2:5" ht="6" customHeight="1" x14ac:dyDescent="0.3"/>
    <row r="16" spans="2:5" ht="19.95" customHeight="1" x14ac:dyDescent="0.3">
      <c r="B16" s="1" t="s">
        <v>642</v>
      </c>
      <c r="C16" s="1" t="s">
        <v>643</v>
      </c>
      <c r="D16" s="1" t="s">
        <v>644</v>
      </c>
      <c r="E16" s="1" t="s">
        <v>645</v>
      </c>
    </row>
    <row r="17" spans="2:5" ht="48" customHeight="1" x14ac:dyDescent="0.3">
      <c r="B17" s="2" t="s">
        <v>646</v>
      </c>
      <c r="C17" s="3" t="s">
        <v>647</v>
      </c>
      <c r="D17" s="3" t="s">
        <v>648</v>
      </c>
      <c r="E17" s="3" t="s">
        <v>649</v>
      </c>
    </row>
    <row r="18" spans="2:5" ht="48" customHeight="1" x14ac:dyDescent="0.3">
      <c r="B18" s="4" t="s">
        <v>650</v>
      </c>
      <c r="C18" s="5" t="s">
        <v>651</v>
      </c>
      <c r="D18" s="5" t="s">
        <v>652</v>
      </c>
      <c r="E18" s="5" t="s">
        <v>653</v>
      </c>
    </row>
    <row r="19" spans="2:5" ht="48" customHeight="1" x14ac:dyDescent="0.3">
      <c r="B19" s="2" t="s">
        <v>654</v>
      </c>
      <c r="C19" s="3" t="s">
        <v>655</v>
      </c>
      <c r="D19" s="3" t="s">
        <v>656</v>
      </c>
      <c r="E19" s="3" t="s">
        <v>657</v>
      </c>
    </row>
    <row r="20" spans="2:5" ht="48" customHeight="1" x14ac:dyDescent="0.3">
      <c r="B20" s="4" t="s">
        <v>658</v>
      </c>
      <c r="C20" s="5" t="s">
        <v>659</v>
      </c>
      <c r="D20" s="5" t="s">
        <v>660</v>
      </c>
      <c r="E20" s="5" t="s">
        <v>661</v>
      </c>
    </row>
    <row r="21" spans="2:5" ht="19.95" customHeight="1" x14ac:dyDescent="0.3">
      <c r="B21" s="2" t="s">
        <v>662</v>
      </c>
      <c r="C21" s="3" t="s">
        <v>663</v>
      </c>
      <c r="D21" s="3" t="s">
        <v>664</v>
      </c>
      <c r="E21" s="3" t="s">
        <v>665</v>
      </c>
    </row>
    <row r="22" spans="2:5" ht="34.049999999999997" customHeight="1" x14ac:dyDescent="0.3">
      <c r="B22" s="4" t="s">
        <v>666</v>
      </c>
      <c r="C22" s="5" t="s">
        <v>667</v>
      </c>
      <c r="D22" s="5" t="s">
        <v>668</v>
      </c>
      <c r="E22" s="5" t="s">
        <v>669</v>
      </c>
    </row>
    <row r="23" spans="2:5" ht="48" customHeight="1" x14ac:dyDescent="0.3">
      <c r="B23" s="2" t="s">
        <v>670</v>
      </c>
      <c r="C23" s="3" t="s">
        <v>671</v>
      </c>
      <c r="D23" s="3" t="s">
        <v>672</v>
      </c>
      <c r="E23" s="3" t="s">
        <v>673</v>
      </c>
    </row>
    <row r="24" spans="2:5" ht="34.049999999999997" customHeight="1" x14ac:dyDescent="0.3">
      <c r="B24" s="4" t="s">
        <v>674</v>
      </c>
      <c r="C24" s="5" t="s">
        <v>675</v>
      </c>
      <c r="D24" s="5" t="s">
        <v>672</v>
      </c>
      <c r="E24" s="5" t="s">
        <v>676</v>
      </c>
    </row>
    <row r="25" spans="2:5" ht="34.049999999999997" customHeight="1" x14ac:dyDescent="0.3">
      <c r="B25" s="2" t="s">
        <v>677</v>
      </c>
      <c r="C25" s="3" t="s">
        <v>678</v>
      </c>
      <c r="D25" s="3" t="s">
        <v>668</v>
      </c>
      <c r="E25" s="3" t="s">
        <v>679</v>
      </c>
    </row>
    <row r="26" spans="2:5" ht="48" customHeight="1" x14ac:dyDescent="0.3">
      <c r="B26" s="4" t="s">
        <v>680</v>
      </c>
      <c r="C26" s="5" t="s">
        <v>681</v>
      </c>
      <c r="D26" s="5" t="s">
        <v>682</v>
      </c>
      <c r="E26" s="5" t="s">
        <v>683</v>
      </c>
    </row>
  </sheetData>
  <mergeCells count="11">
    <mergeCell ref="D10:E10"/>
    <mergeCell ref="D11:E11"/>
    <mergeCell ref="B2:E2"/>
    <mergeCell ref="B14:E14"/>
    <mergeCell ref="D9:E9"/>
    <mergeCell ref="D12:E12"/>
    <mergeCell ref="D8:E8"/>
    <mergeCell ref="D6:E6"/>
    <mergeCell ref="B1:E1"/>
    <mergeCell ref="D7:E7"/>
    <mergeCell ref="B4:E4"/>
  </mergeCells>
  <phoneticPr fontId="15"/>
  <printOptions horizontalCentered="1"/>
  <pageMargins left="0.4" right="0.4" top="0.5" bottom="0.5" header="0.5" footer="0.5"/>
  <pageSetup paperSize="9" fitToHeight="0" orientation="landscape"/>
  <headerFooter>
    <oddFooter>&amp;C&amp;"Meiryo UI"&amp;P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04040"/>
    <pageSetUpPr fitToPage="1"/>
  </sheetPr>
  <dimension ref="B1:E37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" customWidth="1"/>
    <col min="2" max="2" width="12" customWidth="1"/>
    <col min="3" max="3" width="36" customWidth="1"/>
    <col min="4" max="4" width="54" customWidth="1"/>
    <col min="5" max="5" width="40" customWidth="1"/>
    <col min="6" max="6" width="13" customWidth="1"/>
  </cols>
  <sheetData>
    <row r="1" spans="2:5" ht="37.950000000000003" customHeight="1" x14ac:dyDescent="0.3">
      <c r="B1" s="43" t="s">
        <v>684</v>
      </c>
      <c r="C1" s="44"/>
      <c r="D1" s="44"/>
      <c r="E1" s="44"/>
    </row>
    <row r="2" spans="2:5" ht="19.95" customHeight="1" x14ac:dyDescent="0.3">
      <c r="B2" s="39" t="s">
        <v>685</v>
      </c>
      <c r="C2" s="40"/>
      <c r="D2" s="40"/>
      <c r="E2" s="40"/>
    </row>
    <row r="3" spans="2:5" ht="7.95" customHeight="1" x14ac:dyDescent="0.3"/>
    <row r="4" spans="2:5" ht="25.95" customHeight="1" x14ac:dyDescent="0.3">
      <c r="B4" s="37" t="s">
        <v>686</v>
      </c>
      <c r="C4" s="38"/>
      <c r="D4" s="38"/>
      <c r="E4" s="38"/>
    </row>
    <row r="5" spans="2:5" ht="6" customHeight="1" x14ac:dyDescent="0.3"/>
    <row r="6" spans="2:5" ht="19.95" customHeight="1" x14ac:dyDescent="0.3">
      <c r="B6" s="1" t="s">
        <v>687</v>
      </c>
      <c r="C6" s="1" t="s">
        <v>688</v>
      </c>
      <c r="D6" s="1" t="s">
        <v>689</v>
      </c>
      <c r="E6" s="1" t="s">
        <v>690</v>
      </c>
    </row>
    <row r="7" spans="2:5" ht="48" customHeight="1" x14ac:dyDescent="0.3">
      <c r="B7" s="15" t="s">
        <v>691</v>
      </c>
      <c r="C7" s="3" t="s">
        <v>692</v>
      </c>
      <c r="D7" s="3" t="s">
        <v>693</v>
      </c>
      <c r="E7" s="3" t="s">
        <v>694</v>
      </c>
    </row>
    <row r="8" spans="2:5" ht="48" customHeight="1" x14ac:dyDescent="0.3">
      <c r="B8" s="16" t="s">
        <v>695</v>
      </c>
      <c r="C8" s="5" t="s">
        <v>696</v>
      </c>
      <c r="D8" s="5" t="s">
        <v>697</v>
      </c>
      <c r="E8" s="5" t="s">
        <v>698</v>
      </c>
    </row>
    <row r="9" spans="2:5" ht="19.95" customHeight="1" x14ac:dyDescent="0.3">
      <c r="B9" s="15" t="s">
        <v>699</v>
      </c>
      <c r="C9" s="3" t="s">
        <v>700</v>
      </c>
      <c r="D9" s="3" t="s">
        <v>701</v>
      </c>
      <c r="E9" s="3" t="s">
        <v>702</v>
      </c>
    </row>
    <row r="10" spans="2:5" ht="34.049999999999997" customHeight="1" x14ac:dyDescent="0.3">
      <c r="B10" s="16" t="s">
        <v>703</v>
      </c>
      <c r="C10" s="5" t="s">
        <v>704</v>
      </c>
      <c r="D10" s="5" t="s">
        <v>705</v>
      </c>
      <c r="E10" s="5" t="s">
        <v>706</v>
      </c>
    </row>
    <row r="11" spans="2:5" ht="34.049999999999997" customHeight="1" x14ac:dyDescent="0.3">
      <c r="B11" s="15" t="s">
        <v>707</v>
      </c>
      <c r="C11" s="3" t="s">
        <v>708</v>
      </c>
      <c r="D11" s="3" t="s">
        <v>709</v>
      </c>
      <c r="E11" s="3" t="s">
        <v>710</v>
      </c>
    </row>
    <row r="12" spans="2:5" ht="48" customHeight="1" x14ac:dyDescent="0.3">
      <c r="B12" s="16" t="s">
        <v>711</v>
      </c>
      <c r="C12" s="5" t="s">
        <v>712</v>
      </c>
      <c r="D12" s="5" t="s">
        <v>713</v>
      </c>
      <c r="E12" s="5" t="s">
        <v>714</v>
      </c>
    </row>
    <row r="13" spans="2:5" ht="48" customHeight="1" x14ac:dyDescent="0.3">
      <c r="B13" s="18" t="s">
        <v>715</v>
      </c>
      <c r="C13" s="17" t="s">
        <v>716</v>
      </c>
      <c r="D13" s="17" t="s">
        <v>717</v>
      </c>
      <c r="E13" s="17" t="s">
        <v>718</v>
      </c>
    </row>
    <row r="14" spans="2:5" ht="34.049999999999997" customHeight="1" x14ac:dyDescent="0.3">
      <c r="B14" s="16" t="s">
        <v>719</v>
      </c>
      <c r="C14" s="5" t="s">
        <v>720</v>
      </c>
      <c r="D14" s="5" t="s">
        <v>721</v>
      </c>
      <c r="E14" s="5" t="s">
        <v>722</v>
      </c>
    </row>
    <row r="15" spans="2:5" ht="34.049999999999997" customHeight="1" x14ac:dyDescent="0.3">
      <c r="B15" s="15" t="s">
        <v>723</v>
      </c>
      <c r="C15" s="3" t="s">
        <v>724</v>
      </c>
      <c r="D15" s="3" t="s">
        <v>725</v>
      </c>
      <c r="E15" s="3" t="s">
        <v>726</v>
      </c>
    </row>
    <row r="16" spans="2:5" ht="34.049999999999997" customHeight="1" x14ac:dyDescent="0.3">
      <c r="B16" s="16" t="s">
        <v>727</v>
      </c>
      <c r="C16" s="5" t="s">
        <v>728</v>
      </c>
      <c r="D16" s="5" t="s">
        <v>729</v>
      </c>
      <c r="E16" s="5" t="s">
        <v>730</v>
      </c>
    </row>
    <row r="17" spans="2:5" ht="34.049999999999997" customHeight="1" x14ac:dyDescent="0.3">
      <c r="B17" s="15" t="s">
        <v>731</v>
      </c>
      <c r="C17" s="3" t="s">
        <v>732</v>
      </c>
      <c r="D17" s="3" t="s">
        <v>733</v>
      </c>
      <c r="E17" s="3" t="s">
        <v>734</v>
      </c>
    </row>
    <row r="18" spans="2:5" ht="34.049999999999997" customHeight="1" x14ac:dyDescent="0.3">
      <c r="B18" s="16" t="s">
        <v>735</v>
      </c>
      <c r="C18" s="5" t="s">
        <v>736</v>
      </c>
      <c r="D18" s="5" t="s">
        <v>737</v>
      </c>
      <c r="E18" s="5" t="s">
        <v>738</v>
      </c>
    </row>
    <row r="19" spans="2:5" ht="34.049999999999997" customHeight="1" x14ac:dyDescent="0.3">
      <c r="B19" s="15" t="s">
        <v>739</v>
      </c>
      <c r="C19" s="3" t="s">
        <v>740</v>
      </c>
      <c r="D19" s="3" t="s">
        <v>741</v>
      </c>
      <c r="E19" s="3" t="s">
        <v>742</v>
      </c>
    </row>
    <row r="20" spans="2:5" ht="34.049999999999997" customHeight="1" x14ac:dyDescent="0.3">
      <c r="B20" s="16" t="s">
        <v>743</v>
      </c>
      <c r="C20" s="5" t="s">
        <v>744</v>
      </c>
      <c r="D20" s="5" t="s">
        <v>745</v>
      </c>
      <c r="E20" s="5" t="s">
        <v>746</v>
      </c>
    </row>
    <row r="21" spans="2:5" ht="34.049999999999997" customHeight="1" x14ac:dyDescent="0.3">
      <c r="B21" s="15" t="s">
        <v>747</v>
      </c>
      <c r="C21" s="3" t="s">
        <v>748</v>
      </c>
      <c r="D21" s="3" t="s">
        <v>749</v>
      </c>
      <c r="E21" s="3" t="s">
        <v>746</v>
      </c>
    </row>
    <row r="22" spans="2:5" ht="34.049999999999997" customHeight="1" x14ac:dyDescent="0.3">
      <c r="B22" s="16" t="s">
        <v>750</v>
      </c>
      <c r="C22" s="5" t="s">
        <v>751</v>
      </c>
      <c r="D22" s="5" t="s">
        <v>752</v>
      </c>
      <c r="E22" s="5" t="s">
        <v>753</v>
      </c>
    </row>
    <row r="23" spans="2:5" ht="48" customHeight="1" x14ac:dyDescent="0.3">
      <c r="B23" s="15" t="s">
        <v>754</v>
      </c>
      <c r="C23" s="3" t="s">
        <v>755</v>
      </c>
      <c r="D23" s="3" t="s">
        <v>756</v>
      </c>
      <c r="E23" s="3" t="s">
        <v>757</v>
      </c>
    </row>
    <row r="24" spans="2:5" ht="34.049999999999997" customHeight="1" x14ac:dyDescent="0.3">
      <c r="B24" s="16" t="s">
        <v>754</v>
      </c>
      <c r="C24" s="5" t="s">
        <v>758</v>
      </c>
      <c r="D24" s="5" t="s">
        <v>759</v>
      </c>
      <c r="E24" s="5" t="s">
        <v>760</v>
      </c>
    </row>
    <row r="25" spans="2:5" ht="34.049999999999997" customHeight="1" x14ac:dyDescent="0.3">
      <c r="B25" s="15" t="s">
        <v>761</v>
      </c>
      <c r="C25" s="3" t="s">
        <v>762</v>
      </c>
      <c r="D25" s="3" t="s">
        <v>763</v>
      </c>
      <c r="E25" s="3" t="s">
        <v>764</v>
      </c>
    </row>
    <row r="26" spans="2:5" ht="10.050000000000001" customHeight="1" x14ac:dyDescent="0.3"/>
    <row r="27" spans="2:5" ht="25.95" customHeight="1" x14ac:dyDescent="0.3">
      <c r="B27" s="37" t="s">
        <v>765</v>
      </c>
      <c r="C27" s="38"/>
      <c r="D27" s="38"/>
      <c r="E27" s="38"/>
    </row>
    <row r="28" spans="2:5" ht="6" customHeight="1" x14ac:dyDescent="0.3"/>
    <row r="29" spans="2:5" ht="34.049999999999997" customHeight="1" x14ac:dyDescent="0.3">
      <c r="B29" s="45" t="s">
        <v>766</v>
      </c>
      <c r="C29" s="46"/>
      <c r="D29" s="46"/>
      <c r="E29" s="46"/>
    </row>
    <row r="30" spans="2:5" ht="4.05" customHeight="1" x14ac:dyDescent="0.3"/>
    <row r="31" spans="2:5" ht="34.049999999999997" customHeight="1" x14ac:dyDescent="0.3">
      <c r="B31" s="45" t="s">
        <v>767</v>
      </c>
      <c r="C31" s="46"/>
      <c r="D31" s="46"/>
      <c r="E31" s="46"/>
    </row>
    <row r="32" spans="2:5" ht="4.05" customHeight="1" x14ac:dyDescent="0.3"/>
    <row r="33" spans="2:5" ht="34.049999999999997" customHeight="1" x14ac:dyDescent="0.3">
      <c r="B33" s="45" t="s">
        <v>768</v>
      </c>
      <c r="C33" s="46"/>
      <c r="D33" s="46"/>
      <c r="E33" s="46"/>
    </row>
    <row r="34" spans="2:5" ht="4.05" customHeight="1" x14ac:dyDescent="0.3"/>
    <row r="35" spans="2:5" ht="34.049999999999997" customHeight="1" x14ac:dyDescent="0.3">
      <c r="B35" s="45" t="s">
        <v>769</v>
      </c>
      <c r="C35" s="46"/>
      <c r="D35" s="46"/>
      <c r="E35" s="46"/>
    </row>
    <row r="36" spans="2:5" ht="4.05" customHeight="1" x14ac:dyDescent="0.3"/>
    <row r="37" spans="2:5" ht="34.049999999999997" customHeight="1" x14ac:dyDescent="0.3">
      <c r="B37" s="45" t="s">
        <v>770</v>
      </c>
      <c r="C37" s="46"/>
      <c r="D37" s="46"/>
      <c r="E37" s="46"/>
    </row>
  </sheetData>
  <mergeCells count="9">
    <mergeCell ref="B37:E37"/>
    <mergeCell ref="B31:E31"/>
    <mergeCell ref="B27:E27"/>
    <mergeCell ref="B1:E1"/>
    <mergeCell ref="B35:E35"/>
    <mergeCell ref="B4:E4"/>
    <mergeCell ref="B29:E29"/>
    <mergeCell ref="B33:E33"/>
    <mergeCell ref="B2:E2"/>
  </mergeCells>
  <phoneticPr fontId="15"/>
  <printOptions horizontalCentered="1"/>
  <pageMargins left="0.4" right="0.4" top="0.5" bottom="0.5" header="0.5" footer="0.5"/>
  <pageSetup paperSize="9" fitToHeight="0" orientation="landscape"/>
  <headerFooter>
    <oddFooter>&amp;C&amp;"Meiryo UI"&amp;P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  <pageSetUpPr fitToPage="1"/>
  </sheetPr>
  <dimension ref="B1:D31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" customWidth="1"/>
    <col min="2" max="2" width="28" customWidth="1"/>
    <col min="3" max="3" width="34" customWidth="1"/>
    <col min="4" max="4" width="76" customWidth="1"/>
    <col min="5" max="5" width="13" customWidth="1"/>
  </cols>
  <sheetData>
    <row r="1" spans="2:4" ht="37.950000000000003" customHeight="1" x14ac:dyDescent="0.3">
      <c r="B1" s="43" t="s">
        <v>771</v>
      </c>
      <c r="C1" s="44"/>
      <c r="D1" s="44"/>
    </row>
    <row r="2" spans="2:4" ht="19.95" customHeight="1" x14ac:dyDescent="0.3">
      <c r="B2" s="39" t="s">
        <v>772</v>
      </c>
      <c r="C2" s="40"/>
      <c r="D2" s="40"/>
    </row>
    <row r="3" spans="2:4" ht="7.95" customHeight="1" x14ac:dyDescent="0.3"/>
    <row r="4" spans="2:4" ht="25.95" customHeight="1" x14ac:dyDescent="0.3">
      <c r="B4" s="37" t="s">
        <v>773</v>
      </c>
      <c r="C4" s="38"/>
      <c r="D4" s="38"/>
    </row>
    <row r="5" spans="2:4" ht="6" customHeight="1" x14ac:dyDescent="0.3"/>
    <row r="6" spans="2:4" ht="19.95" customHeight="1" x14ac:dyDescent="0.3">
      <c r="B6" s="1" t="s">
        <v>774</v>
      </c>
      <c r="C6" s="1" t="s">
        <v>775</v>
      </c>
      <c r="D6" s="1" t="s">
        <v>776</v>
      </c>
    </row>
    <row r="7" spans="2:4" ht="34.049999999999997" customHeight="1" x14ac:dyDescent="0.3">
      <c r="B7" s="2" t="s">
        <v>112</v>
      </c>
      <c r="C7" s="3" t="s">
        <v>777</v>
      </c>
      <c r="D7" s="3" t="s">
        <v>778</v>
      </c>
    </row>
    <row r="8" spans="2:4" ht="34.049999999999997" customHeight="1" x14ac:dyDescent="0.3">
      <c r="B8" s="4" t="s">
        <v>779</v>
      </c>
      <c r="C8" s="5" t="s">
        <v>780</v>
      </c>
      <c r="D8" s="5" t="s">
        <v>781</v>
      </c>
    </row>
    <row r="9" spans="2:4" ht="19.95" customHeight="1" x14ac:dyDescent="0.3">
      <c r="B9" s="2" t="s">
        <v>782</v>
      </c>
      <c r="C9" s="3" t="s">
        <v>783</v>
      </c>
      <c r="D9" s="3" t="s">
        <v>784</v>
      </c>
    </row>
    <row r="10" spans="2:4" ht="19.95" customHeight="1" x14ac:dyDescent="0.3">
      <c r="B10" s="4" t="s">
        <v>785</v>
      </c>
      <c r="C10" s="5" t="s">
        <v>786</v>
      </c>
      <c r="D10" s="5" t="s">
        <v>787</v>
      </c>
    </row>
    <row r="11" spans="2:4" ht="19.95" customHeight="1" x14ac:dyDescent="0.3">
      <c r="B11" s="2" t="s">
        <v>118</v>
      </c>
      <c r="C11" s="3" t="s">
        <v>788</v>
      </c>
      <c r="D11" s="3" t="s">
        <v>789</v>
      </c>
    </row>
    <row r="12" spans="2:4" ht="19.95" customHeight="1" x14ac:dyDescent="0.3">
      <c r="B12" s="4" t="s">
        <v>133</v>
      </c>
      <c r="C12" s="5" t="s">
        <v>790</v>
      </c>
      <c r="D12" s="5" t="s">
        <v>791</v>
      </c>
    </row>
    <row r="13" spans="2:4" ht="34.049999999999997" customHeight="1" x14ac:dyDescent="0.3">
      <c r="B13" s="2" t="s">
        <v>792</v>
      </c>
      <c r="C13" s="3" t="s">
        <v>793</v>
      </c>
      <c r="D13" s="3" t="s">
        <v>794</v>
      </c>
    </row>
    <row r="14" spans="2:4" ht="19.95" customHeight="1" x14ac:dyDescent="0.3">
      <c r="B14" s="4" t="s">
        <v>795</v>
      </c>
      <c r="C14" s="5" t="s">
        <v>796</v>
      </c>
      <c r="D14" s="5" t="s">
        <v>797</v>
      </c>
    </row>
    <row r="15" spans="2:4" ht="19.95" customHeight="1" x14ac:dyDescent="0.3">
      <c r="B15" s="2" t="s">
        <v>798</v>
      </c>
      <c r="C15" s="3" t="s">
        <v>799</v>
      </c>
      <c r="D15" s="3" t="s">
        <v>800</v>
      </c>
    </row>
    <row r="16" spans="2:4" ht="34.049999999999997" customHeight="1" x14ac:dyDescent="0.3">
      <c r="B16" s="4" t="s">
        <v>137</v>
      </c>
      <c r="C16" s="5" t="s">
        <v>801</v>
      </c>
      <c r="D16" s="5" t="s">
        <v>802</v>
      </c>
    </row>
    <row r="17" spans="2:4" ht="19.95" customHeight="1" x14ac:dyDescent="0.3">
      <c r="B17" s="2" t="s">
        <v>140</v>
      </c>
      <c r="C17" s="3" t="s">
        <v>803</v>
      </c>
      <c r="D17" s="3" t="s">
        <v>804</v>
      </c>
    </row>
    <row r="18" spans="2:4" ht="19.95" customHeight="1" x14ac:dyDescent="0.3">
      <c r="B18" s="4" t="s">
        <v>144</v>
      </c>
      <c r="C18" s="5" t="s">
        <v>805</v>
      </c>
      <c r="D18" s="5" t="s">
        <v>806</v>
      </c>
    </row>
    <row r="19" spans="2:4" ht="19.95" customHeight="1" x14ac:dyDescent="0.3">
      <c r="B19" s="2" t="s">
        <v>807</v>
      </c>
      <c r="C19" s="3" t="s">
        <v>808</v>
      </c>
      <c r="D19" s="3" t="s">
        <v>809</v>
      </c>
    </row>
    <row r="20" spans="2:4" ht="19.95" customHeight="1" x14ac:dyDescent="0.3">
      <c r="B20" s="4" t="s">
        <v>810</v>
      </c>
      <c r="C20" s="5" t="s">
        <v>810</v>
      </c>
      <c r="D20" s="5" t="s">
        <v>811</v>
      </c>
    </row>
    <row r="21" spans="2:4" ht="19.95" customHeight="1" x14ac:dyDescent="0.3">
      <c r="B21" s="2" t="s">
        <v>812</v>
      </c>
      <c r="C21" s="3" t="s">
        <v>813</v>
      </c>
      <c r="D21" s="3" t="s">
        <v>814</v>
      </c>
    </row>
    <row r="22" spans="2:4" ht="34.049999999999997" customHeight="1" x14ac:dyDescent="0.3">
      <c r="B22" s="4" t="s">
        <v>148</v>
      </c>
      <c r="C22" s="5" t="s">
        <v>815</v>
      </c>
      <c r="D22" s="5" t="s">
        <v>816</v>
      </c>
    </row>
    <row r="23" spans="2:4" ht="19.95" customHeight="1" x14ac:dyDescent="0.3">
      <c r="B23" s="2" t="s">
        <v>127</v>
      </c>
      <c r="C23" s="3" t="s">
        <v>817</v>
      </c>
      <c r="D23" s="3" t="s">
        <v>818</v>
      </c>
    </row>
    <row r="24" spans="2:4" ht="19.95" customHeight="1" x14ac:dyDescent="0.3">
      <c r="B24" s="4" t="s">
        <v>819</v>
      </c>
      <c r="C24" s="5" t="s">
        <v>819</v>
      </c>
      <c r="D24" s="5" t="s">
        <v>820</v>
      </c>
    </row>
    <row r="25" spans="2:4" ht="19.95" customHeight="1" x14ac:dyDescent="0.3">
      <c r="B25" s="2" t="s">
        <v>821</v>
      </c>
      <c r="C25" s="3" t="s">
        <v>822</v>
      </c>
      <c r="D25" s="3" t="s">
        <v>823</v>
      </c>
    </row>
    <row r="26" spans="2:4" ht="19.95" customHeight="1" x14ac:dyDescent="0.3">
      <c r="B26" s="4" t="s">
        <v>824</v>
      </c>
      <c r="C26" s="5" t="s">
        <v>825</v>
      </c>
      <c r="D26" s="5" t="s">
        <v>826</v>
      </c>
    </row>
    <row r="27" spans="2:4" ht="34.049999999999997" customHeight="1" x14ac:dyDescent="0.3">
      <c r="B27" s="2" t="s">
        <v>827</v>
      </c>
      <c r="C27" s="3" t="s">
        <v>828</v>
      </c>
      <c r="D27" s="3" t="s">
        <v>829</v>
      </c>
    </row>
    <row r="28" spans="2:4" ht="19.95" customHeight="1" x14ac:dyDescent="0.3">
      <c r="B28" s="4" t="s">
        <v>830</v>
      </c>
      <c r="C28" s="5" t="s">
        <v>831</v>
      </c>
      <c r="D28" s="5" t="s">
        <v>832</v>
      </c>
    </row>
    <row r="29" spans="2:4" ht="19.95" customHeight="1" x14ac:dyDescent="0.3">
      <c r="B29" s="2" t="s">
        <v>833</v>
      </c>
      <c r="C29" s="3" t="s">
        <v>834</v>
      </c>
      <c r="D29" s="3" t="s">
        <v>835</v>
      </c>
    </row>
    <row r="30" spans="2:4" ht="19.95" customHeight="1" x14ac:dyDescent="0.3">
      <c r="B30" s="4" t="s">
        <v>836</v>
      </c>
      <c r="C30" s="5" t="s">
        <v>837</v>
      </c>
      <c r="D30" s="5" t="s">
        <v>838</v>
      </c>
    </row>
    <row r="31" spans="2:4" ht="19.95" customHeight="1" x14ac:dyDescent="0.3">
      <c r="B31" s="2" t="s">
        <v>839</v>
      </c>
      <c r="C31" s="3" t="s">
        <v>839</v>
      </c>
      <c r="D31" s="3" t="s">
        <v>840</v>
      </c>
    </row>
  </sheetData>
  <mergeCells count="3">
    <mergeCell ref="B1:D1"/>
    <mergeCell ref="B2:D2"/>
    <mergeCell ref="B4:D4"/>
  </mergeCells>
  <phoneticPr fontId="15"/>
  <printOptions horizontalCentered="1"/>
  <pageMargins left="0.4" right="0.4" top="0.5" bottom="0.5" header="0.5" footer="0.5"/>
  <pageSetup paperSize="9" fitToHeight="0" orientation="landscape"/>
  <headerFooter>
    <oddFooter>&amp;C&amp;"Meiryo UI"&amp;P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  <pageSetUpPr fitToPage="1"/>
  </sheetPr>
  <dimension ref="B1:D2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" customWidth="1"/>
    <col min="2" max="2" width="44" customWidth="1"/>
    <col min="3" max="3" width="70" customWidth="1"/>
    <col min="4" max="4" width="46" customWidth="1"/>
    <col min="5" max="5" width="13" customWidth="1"/>
  </cols>
  <sheetData>
    <row r="1" spans="2:4" ht="37.950000000000003" customHeight="1" x14ac:dyDescent="0.3">
      <c r="B1" s="43" t="s">
        <v>841</v>
      </c>
      <c r="C1" s="44"/>
      <c r="D1" s="44"/>
    </row>
    <row r="2" spans="2:4" ht="19.95" customHeight="1" x14ac:dyDescent="0.3">
      <c r="B2" s="39" t="s">
        <v>842</v>
      </c>
      <c r="C2" s="40"/>
      <c r="D2" s="40"/>
    </row>
    <row r="3" spans="2:4" ht="7.95" customHeight="1" x14ac:dyDescent="0.3"/>
    <row r="4" spans="2:4" ht="25.95" customHeight="1" x14ac:dyDescent="0.3">
      <c r="B4" s="37" t="s">
        <v>843</v>
      </c>
      <c r="C4" s="38"/>
      <c r="D4" s="38"/>
    </row>
    <row r="5" spans="2:4" ht="6" customHeight="1" x14ac:dyDescent="0.3"/>
    <row r="6" spans="2:4" ht="19.95" customHeight="1" x14ac:dyDescent="0.3">
      <c r="B6" s="1" t="s">
        <v>844</v>
      </c>
      <c r="C6" s="1" t="s">
        <v>845</v>
      </c>
      <c r="D6" s="1" t="s">
        <v>846</v>
      </c>
    </row>
    <row r="7" spans="2:4" ht="34.049999999999997" customHeight="1" x14ac:dyDescent="0.3">
      <c r="B7" s="2" t="s">
        <v>847</v>
      </c>
      <c r="C7" s="29" t="s">
        <v>848</v>
      </c>
      <c r="D7" s="3" t="s">
        <v>849</v>
      </c>
    </row>
    <row r="8" spans="2:4" ht="34.049999999999997" customHeight="1" x14ac:dyDescent="0.3">
      <c r="B8" s="4" t="s">
        <v>850</v>
      </c>
      <c r="C8" s="30" t="s">
        <v>851</v>
      </c>
      <c r="D8" s="5" t="s">
        <v>852</v>
      </c>
    </row>
    <row r="9" spans="2:4" ht="34.049999999999997" customHeight="1" x14ac:dyDescent="0.3">
      <c r="B9" s="2" t="s">
        <v>853</v>
      </c>
      <c r="C9" s="29" t="s">
        <v>854</v>
      </c>
      <c r="D9" s="3" t="s">
        <v>855</v>
      </c>
    </row>
    <row r="10" spans="2:4" ht="34.049999999999997" customHeight="1" x14ac:dyDescent="0.3">
      <c r="B10" s="4" t="s">
        <v>856</v>
      </c>
      <c r="C10" s="30" t="s">
        <v>857</v>
      </c>
      <c r="D10" s="5" t="s">
        <v>858</v>
      </c>
    </row>
    <row r="11" spans="2:4" ht="34.049999999999997" customHeight="1" x14ac:dyDescent="0.3">
      <c r="B11" s="2" t="s">
        <v>859</v>
      </c>
      <c r="C11" s="29" t="s">
        <v>860</v>
      </c>
      <c r="D11" s="3" t="s">
        <v>861</v>
      </c>
    </row>
    <row r="12" spans="2:4" ht="34.049999999999997" customHeight="1" x14ac:dyDescent="0.3">
      <c r="B12" s="4" t="s">
        <v>862</v>
      </c>
      <c r="C12" s="30" t="s">
        <v>863</v>
      </c>
      <c r="D12" s="5" t="s">
        <v>864</v>
      </c>
    </row>
    <row r="13" spans="2:4" ht="34.049999999999997" customHeight="1" x14ac:dyDescent="0.3">
      <c r="B13" s="2" t="s">
        <v>865</v>
      </c>
      <c r="C13" s="29" t="s">
        <v>866</v>
      </c>
      <c r="D13" s="3" t="s">
        <v>867</v>
      </c>
    </row>
    <row r="14" spans="2:4" ht="10.050000000000001" customHeight="1" x14ac:dyDescent="0.3"/>
    <row r="15" spans="2:4" ht="25.95" customHeight="1" x14ac:dyDescent="0.3">
      <c r="B15" s="37" t="s">
        <v>868</v>
      </c>
      <c r="C15" s="38"/>
      <c r="D15" s="38"/>
    </row>
    <row r="16" spans="2:4" ht="6" customHeight="1" x14ac:dyDescent="0.3"/>
    <row r="17" spans="2:4" ht="19.95" customHeight="1" x14ac:dyDescent="0.3">
      <c r="B17" s="1" t="s">
        <v>844</v>
      </c>
      <c r="C17" s="1" t="s">
        <v>845</v>
      </c>
      <c r="D17" s="1" t="s">
        <v>846</v>
      </c>
    </row>
    <row r="18" spans="2:4" ht="34.049999999999997" customHeight="1" x14ac:dyDescent="0.3">
      <c r="B18" s="2" t="s">
        <v>869</v>
      </c>
      <c r="C18" s="29" t="s">
        <v>870</v>
      </c>
      <c r="D18" s="3" t="s">
        <v>871</v>
      </c>
    </row>
    <row r="19" spans="2:4" ht="34.049999999999997" customHeight="1" x14ac:dyDescent="0.3">
      <c r="B19" s="4" t="s">
        <v>872</v>
      </c>
      <c r="C19" s="30" t="s">
        <v>873</v>
      </c>
      <c r="D19" s="5" t="s">
        <v>874</v>
      </c>
    </row>
    <row r="20" spans="2:4" ht="34.049999999999997" customHeight="1" x14ac:dyDescent="0.3">
      <c r="B20" s="2" t="s">
        <v>875</v>
      </c>
      <c r="C20" s="29" t="s">
        <v>876</v>
      </c>
      <c r="D20" s="3" t="s">
        <v>877</v>
      </c>
    </row>
    <row r="21" spans="2:4" ht="34.049999999999997" customHeight="1" x14ac:dyDescent="0.3">
      <c r="B21" s="4" t="s">
        <v>878</v>
      </c>
      <c r="C21" s="30" t="s">
        <v>879</v>
      </c>
      <c r="D21" s="5" t="s">
        <v>880</v>
      </c>
    </row>
    <row r="22" spans="2:4" ht="34.049999999999997" customHeight="1" x14ac:dyDescent="0.3">
      <c r="B22" s="2" t="s">
        <v>881</v>
      </c>
      <c r="C22" s="29" t="s">
        <v>882</v>
      </c>
      <c r="D22" s="3" t="s">
        <v>883</v>
      </c>
    </row>
    <row r="23" spans="2:4" ht="34.049999999999997" customHeight="1" x14ac:dyDescent="0.3">
      <c r="B23" s="4" t="s">
        <v>884</v>
      </c>
      <c r="C23" s="30" t="s">
        <v>885</v>
      </c>
      <c r="D23" s="5" t="s">
        <v>886</v>
      </c>
    </row>
    <row r="24" spans="2:4" ht="34.049999999999997" customHeight="1" x14ac:dyDescent="0.3">
      <c r="B24" s="2" t="s">
        <v>887</v>
      </c>
      <c r="C24" s="29" t="s">
        <v>888</v>
      </c>
      <c r="D24" s="3" t="s">
        <v>889</v>
      </c>
    </row>
    <row r="25" spans="2:4" ht="34.049999999999997" customHeight="1" x14ac:dyDescent="0.3">
      <c r="B25" s="4" t="s">
        <v>890</v>
      </c>
      <c r="C25" s="30" t="s">
        <v>891</v>
      </c>
      <c r="D25" s="5" t="s">
        <v>892</v>
      </c>
    </row>
    <row r="26" spans="2:4" ht="34.049999999999997" customHeight="1" x14ac:dyDescent="0.3">
      <c r="B26" s="2" t="s">
        <v>893</v>
      </c>
      <c r="C26" s="29" t="s">
        <v>894</v>
      </c>
      <c r="D26" s="3" t="s">
        <v>895</v>
      </c>
    </row>
    <row r="27" spans="2:4" ht="34.049999999999997" customHeight="1" x14ac:dyDescent="0.3">
      <c r="B27" s="4" t="s">
        <v>896</v>
      </c>
      <c r="C27" s="30" t="s">
        <v>897</v>
      </c>
      <c r="D27" s="5" t="s">
        <v>898</v>
      </c>
    </row>
    <row r="28" spans="2:4" ht="19.95" customHeight="1" x14ac:dyDescent="0.3">
      <c r="B28" s="2" t="s">
        <v>899</v>
      </c>
      <c r="C28" s="29" t="s">
        <v>900</v>
      </c>
      <c r="D28" s="3" t="s">
        <v>901</v>
      </c>
    </row>
    <row r="29" spans="2:4" ht="34.049999999999997" customHeight="1" x14ac:dyDescent="0.3">
      <c r="B29" s="4" t="s">
        <v>902</v>
      </c>
      <c r="C29" s="30" t="s">
        <v>903</v>
      </c>
      <c r="D29" s="5" t="s">
        <v>904</v>
      </c>
    </row>
  </sheetData>
  <mergeCells count="4">
    <mergeCell ref="B15:D15"/>
    <mergeCell ref="B1:D1"/>
    <mergeCell ref="B2:D2"/>
    <mergeCell ref="B4:D4"/>
  </mergeCells>
  <phoneticPr fontId="15"/>
  <hyperlinks>
    <hyperlink ref="C7" r:id="rId1" xr:uid="{00000000-0004-0000-0C00-000000000000}"/>
    <hyperlink ref="C8" r:id="rId2" xr:uid="{00000000-0004-0000-0C00-000001000000}"/>
    <hyperlink ref="C9" r:id="rId3" xr:uid="{00000000-0004-0000-0C00-000002000000}"/>
    <hyperlink ref="C10" r:id="rId4" xr:uid="{00000000-0004-0000-0C00-000003000000}"/>
    <hyperlink ref="C11" r:id="rId5" xr:uid="{00000000-0004-0000-0C00-000004000000}"/>
    <hyperlink ref="C12" r:id="rId6" xr:uid="{00000000-0004-0000-0C00-000005000000}"/>
    <hyperlink ref="C13" r:id="rId7" xr:uid="{00000000-0004-0000-0C00-000006000000}"/>
    <hyperlink ref="C18" r:id="rId8" xr:uid="{00000000-0004-0000-0C00-000007000000}"/>
    <hyperlink ref="C19" r:id="rId9" xr:uid="{00000000-0004-0000-0C00-000008000000}"/>
    <hyperlink ref="C20" r:id="rId10" xr:uid="{00000000-0004-0000-0C00-000009000000}"/>
    <hyperlink ref="C21" r:id="rId11" xr:uid="{00000000-0004-0000-0C00-00000A000000}"/>
    <hyperlink ref="C22" r:id="rId12" xr:uid="{00000000-0004-0000-0C00-00000B000000}"/>
    <hyperlink ref="C23" r:id="rId13" xr:uid="{00000000-0004-0000-0C00-00000C000000}"/>
    <hyperlink ref="C24" r:id="rId14" xr:uid="{00000000-0004-0000-0C00-00000D000000}"/>
    <hyperlink ref="C25" r:id="rId15" xr:uid="{00000000-0004-0000-0C00-00000E000000}"/>
    <hyperlink ref="C26" r:id="rId16" xr:uid="{00000000-0004-0000-0C00-00000F000000}"/>
    <hyperlink ref="C27" r:id="rId17" xr:uid="{00000000-0004-0000-0C00-000010000000}"/>
    <hyperlink ref="C28" r:id="rId18" xr:uid="{00000000-0004-0000-0C00-000011000000}"/>
    <hyperlink ref="C29" r:id="rId19" xr:uid="{00000000-0004-0000-0C00-000012000000}"/>
  </hyperlinks>
  <printOptions horizontalCentered="1"/>
  <pageMargins left="0.4" right="0.4" top="0.5" bottom="0.5" header="0.5" footer="0.5"/>
  <pageSetup paperSize="9" fitToHeight="0" orientation="landscape"/>
  <headerFooter>
    <oddFooter>&amp;C&amp;"Meiryo UI"&amp;P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13</vt:i4>
      </vt:variant>
    </vt:vector>
  </HeadingPairs>
  <TitlesOfParts>
    <vt:vector size="26" baseType="lpstr">
      <vt:lpstr>00_表紙・目次</vt:lpstr>
      <vt:lpstr>01_結論サマリ</vt:lpstr>
      <vt:lpstr>02_たとえ話（小学生向け）</vt:lpstr>
      <vt:lpstr>03_根本原因</vt:lpstr>
      <vt:lpstr>04_動作原理</vt:lpstr>
      <vt:lpstr>05_動作イメージ</vt:lpstr>
      <vt:lpstr>06_巻き戻さない設定</vt:lpstr>
      <vt:lpstr>07_設定手順・コマンド</vt:lpstr>
      <vt:lpstr>08_推奨運用チェック</vt:lpstr>
      <vt:lpstr>09_失敗原因の調べ方</vt:lpstr>
      <vt:lpstr>10_歴史と背景</vt:lpstr>
      <vt:lpstr>11_用語集</vt:lpstr>
      <vt:lpstr>12_参考情報</vt:lpstr>
      <vt:lpstr>'00_表紙・目次'!Print_Titles</vt:lpstr>
      <vt:lpstr>'01_結論サマリ'!Print_Titles</vt:lpstr>
      <vt:lpstr>'02_たとえ話（小学生向け）'!Print_Titles</vt:lpstr>
      <vt:lpstr>'03_根本原因'!Print_Titles</vt:lpstr>
      <vt:lpstr>'04_動作原理'!Print_Titles</vt:lpstr>
      <vt:lpstr>'05_動作イメージ'!Print_Titles</vt:lpstr>
      <vt:lpstr>'06_巻き戻さない設定'!Print_Titles</vt:lpstr>
      <vt:lpstr>'07_設定手順・コマンド'!Print_Titles</vt:lpstr>
      <vt:lpstr>'08_推奨運用チェック'!Print_Titles</vt:lpstr>
      <vt:lpstr>'09_失敗原因の調べ方'!Print_Titles</vt:lpstr>
      <vt:lpstr>'10_歴史と背景'!Print_Titles</vt:lpstr>
      <vt:lpstr>'11_用語集'!Print_Titles</vt:lpstr>
      <vt:lpstr>'12_参考情報'!Print_Titles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ECSサービスデプロイ失敗時のロールバック解説</dc:title>
  <dc:creator>Claude</dc:creator>
  <cp:lastModifiedBy>貴彦 吉澤</cp:lastModifiedBy>
  <dcterms:created xsi:type="dcterms:W3CDTF">2026-10-02T20:46:22Z</dcterms:created>
  <dcterms:modified xsi:type="dcterms:W3CDTF">2026-10-02T20:47:27Z</dcterms:modified>
</cp:coreProperties>
</file>